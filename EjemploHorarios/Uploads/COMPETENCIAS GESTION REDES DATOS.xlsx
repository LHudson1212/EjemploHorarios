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OneDrive - Servicio Nacional de Aprendizaje\2025\Desarrollo curricular\Competencias\"/>
    </mc:Choice>
  </mc:AlternateContent>
  <xr:revisionPtr revIDLastSave="0" documentId="13_ncr:1_{A0BE2DE7-D256-405B-AEE6-9C3F1D707E76}" xr6:coauthVersionLast="47" xr6:coauthVersionMax="47" xr10:uidLastSave="{00000000-0000-0000-0000-000000000000}"/>
  <bookViews>
    <workbookView xWindow="-120" yWindow="-120" windowWidth="20730" windowHeight="11040" xr2:uid="{CE872B91-7A5E-45D1-BE70-0BA4C3B6BDED}"/>
  </bookViews>
  <sheets>
    <sheet name="Hoja1" sheetId="1" r:id="rId1"/>
  </sheets>
  <definedNames>
    <definedName name="_xlnm._FilterDatabase" localSheetId="0" hidden="1">Hoja1!$A$2:$AS$92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1" i="1" l="1"/>
  <c r="M91" i="1"/>
  <c r="L91" i="1"/>
  <c r="K91" i="1"/>
  <c r="J91" i="1"/>
  <c r="I91" i="1"/>
  <c r="H91" i="1"/>
  <c r="P90" i="1"/>
  <c r="O90" i="1" s="1"/>
  <c r="AG90" i="1" s="1"/>
  <c r="AH90" i="1" s="1"/>
  <c r="H84" i="1"/>
  <c r="H47" i="1"/>
  <c r="H17" i="1"/>
  <c r="P88" i="1"/>
  <c r="P87" i="1"/>
  <c r="P86" i="1"/>
  <c r="P85" i="1"/>
  <c r="P83" i="1"/>
  <c r="P82" i="1"/>
  <c r="P81" i="1"/>
  <c r="P80" i="1"/>
  <c r="P76" i="1"/>
  <c r="P77" i="1"/>
  <c r="P78" i="1"/>
  <c r="P75" i="1"/>
  <c r="N89" i="1"/>
  <c r="M89" i="1"/>
  <c r="L89" i="1"/>
  <c r="K89" i="1"/>
  <c r="J89" i="1"/>
  <c r="I89" i="1"/>
  <c r="H89" i="1"/>
  <c r="N84" i="1"/>
  <c r="M84" i="1"/>
  <c r="L84" i="1"/>
  <c r="K84" i="1"/>
  <c r="J84" i="1"/>
  <c r="I84" i="1"/>
  <c r="I74" i="1"/>
  <c r="I79" i="1"/>
  <c r="J79" i="1"/>
  <c r="K79" i="1"/>
  <c r="L79" i="1"/>
  <c r="M79" i="1"/>
  <c r="N79" i="1"/>
  <c r="H79" i="1"/>
  <c r="H74" i="1"/>
  <c r="N74" i="1"/>
  <c r="M74" i="1"/>
  <c r="L74" i="1"/>
  <c r="K74" i="1"/>
  <c r="J74" i="1"/>
  <c r="N67" i="1"/>
  <c r="M67" i="1"/>
  <c r="L67" i="1"/>
  <c r="K67" i="1"/>
  <c r="J67" i="1"/>
  <c r="I67" i="1"/>
  <c r="H67" i="1"/>
  <c r="N62" i="1"/>
  <c r="M62" i="1"/>
  <c r="L62" i="1"/>
  <c r="K62" i="1"/>
  <c r="J62" i="1"/>
  <c r="I62" i="1"/>
  <c r="H62" i="1"/>
  <c r="N57" i="1"/>
  <c r="M57" i="1"/>
  <c r="L57" i="1"/>
  <c r="K57" i="1"/>
  <c r="J57" i="1"/>
  <c r="I57" i="1"/>
  <c r="H57" i="1"/>
  <c r="N52" i="1"/>
  <c r="M52" i="1"/>
  <c r="L52" i="1"/>
  <c r="K52" i="1"/>
  <c r="J52" i="1"/>
  <c r="I52" i="1"/>
  <c r="H52" i="1"/>
  <c r="N47" i="1"/>
  <c r="M47" i="1"/>
  <c r="L47" i="1"/>
  <c r="K47" i="1"/>
  <c r="J47" i="1"/>
  <c r="I47" i="1"/>
  <c r="N42" i="1"/>
  <c r="M42" i="1"/>
  <c r="L42" i="1"/>
  <c r="K42" i="1"/>
  <c r="J42" i="1"/>
  <c r="I42" i="1"/>
  <c r="H42" i="1"/>
  <c r="N37" i="1"/>
  <c r="M37" i="1"/>
  <c r="L37" i="1"/>
  <c r="K37" i="1"/>
  <c r="J37" i="1"/>
  <c r="I37" i="1"/>
  <c r="H37" i="1"/>
  <c r="N32" i="1"/>
  <c r="M32" i="1"/>
  <c r="L32" i="1"/>
  <c r="K32" i="1"/>
  <c r="J32" i="1"/>
  <c r="I32" i="1"/>
  <c r="H32" i="1"/>
  <c r="N27" i="1"/>
  <c r="M27" i="1"/>
  <c r="L27" i="1"/>
  <c r="K27" i="1"/>
  <c r="J27" i="1"/>
  <c r="I27" i="1"/>
  <c r="H27" i="1"/>
  <c r="N22" i="1"/>
  <c r="M22" i="1"/>
  <c r="L22" i="1"/>
  <c r="K22" i="1"/>
  <c r="J22" i="1"/>
  <c r="I22" i="1"/>
  <c r="H22" i="1"/>
  <c r="I17" i="1"/>
  <c r="J17" i="1"/>
  <c r="K17" i="1"/>
  <c r="L17" i="1"/>
  <c r="M17" i="1"/>
  <c r="N17" i="1"/>
  <c r="I12" i="1"/>
  <c r="J12" i="1"/>
  <c r="K12" i="1"/>
  <c r="L12" i="1"/>
  <c r="M12" i="1"/>
  <c r="N12" i="1"/>
  <c r="H12" i="1"/>
  <c r="I7" i="1"/>
  <c r="J7" i="1"/>
  <c r="K7" i="1"/>
  <c r="L7" i="1"/>
  <c r="M7" i="1"/>
  <c r="N7" i="1"/>
  <c r="H7" i="1"/>
  <c r="P9" i="1"/>
  <c r="P10" i="1"/>
  <c r="P11" i="1"/>
  <c r="P8" i="1"/>
  <c r="P13" i="1"/>
  <c r="P14" i="1"/>
  <c r="P15" i="1"/>
  <c r="P16" i="1"/>
  <c r="P18" i="1"/>
  <c r="P19" i="1"/>
  <c r="P20" i="1"/>
  <c r="P21" i="1"/>
  <c r="P23" i="1"/>
  <c r="P24" i="1"/>
  <c r="P25" i="1"/>
  <c r="P26" i="1"/>
  <c r="P28" i="1"/>
  <c r="P29" i="1"/>
  <c r="P30" i="1"/>
  <c r="P31" i="1"/>
  <c r="P33" i="1"/>
  <c r="P34" i="1"/>
  <c r="P35" i="1"/>
  <c r="P36" i="1"/>
  <c r="P38" i="1"/>
  <c r="P39" i="1"/>
  <c r="P40" i="1"/>
  <c r="P41" i="1"/>
  <c r="P43" i="1"/>
  <c r="P44" i="1"/>
  <c r="P45" i="1"/>
  <c r="P46" i="1"/>
  <c r="P48" i="1"/>
  <c r="P49" i="1"/>
  <c r="P50" i="1"/>
  <c r="P51" i="1"/>
  <c r="P53" i="1"/>
  <c r="P54" i="1"/>
  <c r="P55" i="1"/>
  <c r="P56" i="1"/>
  <c r="P58" i="1"/>
  <c r="P59" i="1"/>
  <c r="P60" i="1"/>
  <c r="P61" i="1"/>
  <c r="P63" i="1"/>
  <c r="P64" i="1"/>
  <c r="P65" i="1"/>
  <c r="P66" i="1"/>
  <c r="P68" i="1"/>
  <c r="P69" i="1"/>
  <c r="P70" i="1"/>
  <c r="P71" i="1"/>
  <c r="P72" i="1"/>
  <c r="P73" i="1"/>
  <c r="P6" i="1"/>
  <c r="P5" i="1"/>
  <c r="P4" i="1"/>
  <c r="P3" i="1"/>
  <c r="L92" i="1" l="1"/>
  <c r="L94" i="1" s="1"/>
  <c r="K92" i="1"/>
  <c r="K94" i="1" s="1"/>
  <c r="N92" i="1"/>
  <c r="N94" i="1" s="1"/>
  <c r="J92" i="1"/>
  <c r="I92" i="1"/>
  <c r="I94" i="1" s="1"/>
  <c r="H92" i="1"/>
  <c r="M92" i="1"/>
  <c r="M94" i="1" s="1"/>
  <c r="O85" i="1"/>
  <c r="AG85" i="1" s="1"/>
  <c r="AH85" i="1" s="1"/>
  <c r="O80" i="1"/>
  <c r="AG80" i="1" s="1"/>
  <c r="AH80" i="1" s="1"/>
  <c r="O75" i="1"/>
  <c r="J94" i="1"/>
  <c r="O63" i="1"/>
  <c r="O33" i="1"/>
  <c r="O28" i="1"/>
  <c r="O58" i="1"/>
  <c r="O38" i="1"/>
  <c r="O48" i="1"/>
  <c r="O53" i="1"/>
  <c r="O43" i="1"/>
  <c r="O23" i="1"/>
  <c r="O18" i="1"/>
  <c r="O68" i="1"/>
  <c r="O13" i="1"/>
  <c r="O8" i="1"/>
  <c r="O3" i="1"/>
  <c r="R8" i="1" l="1"/>
  <c r="S8" i="1" s="1"/>
  <c r="AG8" i="1"/>
  <c r="AH8" i="1" s="1"/>
  <c r="AA8" i="1"/>
  <c r="AB8" i="1" s="1"/>
  <c r="X8" i="1"/>
  <c r="Y8" i="1" s="1"/>
  <c r="U8" i="1"/>
  <c r="V8" i="1" s="1"/>
  <c r="AD8" i="1"/>
  <c r="AE8" i="1" s="1"/>
  <c r="R63" i="1"/>
  <c r="S63" i="1" s="1"/>
  <c r="Y63" i="1"/>
  <c r="AG63" i="1"/>
  <c r="AH63" i="1" s="1"/>
  <c r="AA63" i="1"/>
  <c r="AB63" i="1" s="1"/>
  <c r="AD63" i="1"/>
  <c r="AE63" i="1" s="1"/>
  <c r="R75" i="1"/>
  <c r="S75" i="1" s="1"/>
  <c r="AG75" i="1"/>
  <c r="AH75" i="1" s="1"/>
  <c r="R23" i="1"/>
  <c r="S23" i="1" s="1"/>
  <c r="AG23" i="1"/>
  <c r="AH23" i="1" s="1"/>
  <c r="U23" i="1"/>
  <c r="V23" i="1" s="1"/>
  <c r="AA23" i="1"/>
  <c r="AB23" i="1" s="1"/>
  <c r="AD23" i="1"/>
  <c r="AE23" i="1" s="1"/>
  <c r="X23" i="1"/>
  <c r="Y23" i="1" s="1"/>
  <c r="R48" i="1"/>
  <c r="S48" i="1" s="1"/>
  <c r="AG48" i="1"/>
  <c r="AH48" i="1" s="1"/>
  <c r="R38" i="1"/>
  <c r="S38" i="1" s="1"/>
  <c r="AG38" i="1"/>
  <c r="AH38" i="1" s="1"/>
  <c r="R13" i="1"/>
  <c r="S13" i="1" s="1"/>
  <c r="AG13" i="1"/>
  <c r="AH13" i="1" s="1"/>
  <c r="U13" i="1"/>
  <c r="V13" i="1" s="1"/>
  <c r="AD13" i="1"/>
  <c r="AE13" i="1" s="1"/>
  <c r="X13" i="1"/>
  <c r="Y13" i="1" s="1"/>
  <c r="AA13" i="1"/>
  <c r="AB13" i="1" s="1"/>
  <c r="R68" i="1"/>
  <c r="S68" i="1" s="1"/>
  <c r="AG68" i="1"/>
  <c r="AH68" i="1" s="1"/>
  <c r="R18" i="1"/>
  <c r="S18" i="1" s="1"/>
  <c r="AG18" i="1"/>
  <c r="AH18" i="1" s="1"/>
  <c r="AD18" i="1"/>
  <c r="AE18" i="1" s="1"/>
  <c r="AA18" i="1"/>
  <c r="AB18" i="1" s="1"/>
  <c r="X18" i="1"/>
  <c r="Y18" i="1" s="1"/>
  <c r="U18" i="1"/>
  <c r="V18" i="1" s="1"/>
  <c r="R43" i="1"/>
  <c r="S43" i="1" s="1"/>
  <c r="AG43" i="1"/>
  <c r="AH43" i="1" s="1"/>
  <c r="R53" i="1"/>
  <c r="S53" i="1" s="1"/>
  <c r="AG53" i="1"/>
  <c r="AH53" i="1" s="1"/>
  <c r="R58" i="1"/>
  <c r="S58" i="1" s="1"/>
  <c r="AA58" i="1"/>
  <c r="AB58" i="1" s="1"/>
  <c r="AG58" i="1"/>
  <c r="AH58" i="1" s="1"/>
  <c r="Y58" i="1"/>
  <c r="AD58" i="1"/>
  <c r="AE58" i="1" s="1"/>
  <c r="R28" i="1"/>
  <c r="S28" i="1" s="1"/>
  <c r="AG28" i="1"/>
  <c r="AH28" i="1" s="1"/>
  <c r="AD28" i="1"/>
  <c r="AE28" i="1" s="1"/>
  <c r="AA28" i="1"/>
  <c r="AB28" i="1" s="1"/>
  <c r="X28" i="1"/>
  <c r="Y28" i="1" s="1"/>
  <c r="U28" i="1"/>
  <c r="V28" i="1" s="1"/>
  <c r="R3" i="1"/>
  <c r="S3" i="1" s="1"/>
  <c r="AG3" i="1"/>
  <c r="AH3" i="1" s="1"/>
  <c r="AD3" i="1"/>
  <c r="AE3" i="1" s="1"/>
  <c r="U3" i="1"/>
  <c r="V3" i="1" s="1"/>
  <c r="AA3" i="1"/>
  <c r="AB3" i="1" s="1"/>
  <c r="X3" i="1"/>
  <c r="Y3" i="1" s="1"/>
  <c r="R33" i="1"/>
  <c r="S33" i="1" s="1"/>
  <c r="AG33" i="1"/>
  <c r="AH33" i="1" s="1"/>
  <c r="AD33" i="1"/>
  <c r="AE33" i="1" s="1"/>
  <c r="AA33" i="1"/>
  <c r="AB33" i="1" s="1"/>
  <c r="X33" i="1"/>
  <c r="Y33" i="1" s="1"/>
  <c r="U33" i="1"/>
  <c r="V33" i="1" s="1"/>
  <c r="O92" i="1"/>
  <c r="H94" i="1"/>
</calcChain>
</file>

<file path=xl/sharedStrings.xml><?xml version="1.0" encoding="utf-8"?>
<sst xmlns="http://schemas.openxmlformats.org/spreadsheetml/2006/main" count="145" uniqueCount="125">
  <si>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</si>
  <si>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</si>
  <si>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</si>
  <si>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</si>
  <si>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</si>
  <si>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</si>
  <si>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</si>
  <si>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</si>
  <si>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</si>
  <si>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</si>
  <si>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</si>
  <si>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</si>
  <si>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</si>
  <si>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</si>
  <si>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</si>
  <si>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</si>
  <si>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</si>
  <si>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</si>
  <si>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</si>
  <si>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</si>
  <si>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</si>
  <si>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</si>
  <si>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</si>
  <si>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</si>
  <si>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</si>
  <si>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</si>
  <si>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</si>
  <si>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</si>
  <si>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</si>
  <si>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</si>
  <si>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</si>
  <si>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</si>
  <si>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</si>
  <si>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</si>
  <si>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</si>
  <si>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</si>
  <si>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</si>
  <si>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</si>
  <si>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</si>
  <si>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</si>
  <si>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</si>
  <si>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</si>
  <si>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</si>
  <si>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</si>
  <si>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</si>
  <si>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</si>
  <si>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</si>
  <si>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</si>
  <si>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</si>
  <si>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</si>
  <si>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</si>
  <si>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</si>
  <si>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</si>
  <si>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</si>
  <si>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</si>
  <si>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</si>
  <si>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</si>
  <si>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</si>
  <si>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</si>
  <si>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</si>
  <si>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</si>
  <si>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</si>
  <si>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</si>
  <si>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</si>
  <si>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</si>
  <si>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</si>
  <si>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</si>
  <si>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</si>
  <si>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</si>
  <si>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</si>
  <si>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</si>
  <si>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</si>
  <si>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</si>
  <si>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</si>
  <si>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</si>
  <si>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</si>
  <si>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</si>
  <si>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</si>
  <si>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</si>
  <si>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</si>
  <si>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</si>
  <si>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</si>
  <si>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</si>
  <si>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</si>
  <si>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</si>
  <si>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</si>
  <si>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</si>
  <si>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</si>
  <si>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</si>
  <si>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</si>
  <si>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</si>
  <si>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</si>
  <si>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</si>
  <si>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</si>
  <si>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</si>
  <si>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</si>
  <si>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</si>
  <si>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</si>
  <si>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</si>
  <si>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</si>
  <si>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</si>
  <si>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</si>
  <si>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</si>
  <si>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</si>
  <si>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</si>
  <si>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</si>
  <si>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</si>
  <si>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</si>
  <si>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</si>
  <si>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</si>
  <si>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</si>
  <si>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</si>
  <si>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LUIS F GARCIA</t>
  </si>
  <si>
    <t>BEATRIZ ALFARO</t>
  </si>
  <si>
    <t>ANEDIA GONZALEZ</t>
  </si>
  <si>
    <t>DAVID ARRIETA</t>
  </si>
  <si>
    <t>FERNANDO FLOREZ</t>
  </si>
  <si>
    <t>PILAR PRADA</t>
  </si>
  <si>
    <t>LUIS PEREZ</t>
  </si>
  <si>
    <t>YOVANNI URREGO</t>
  </si>
  <si>
    <t>OSMEIDA RAMIREZ</t>
  </si>
  <si>
    <t>ANDRES MARQUEZ</t>
  </si>
  <si>
    <t>LUZ E CARRIAZO</t>
  </si>
  <si>
    <t>JORGE VASQUEZ</t>
  </si>
  <si>
    <t>ENADITH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</si>
</sst>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57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5" borderId="1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9" fontId="1" fillId="0" borderId="46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2"/>
  <sheetViews>
    <sheetView tabSelected="1" topLeftCell="D1" zoomScale="90" zoomScaleNormal="90" workbookViewId="0">
      <pane xSplit="2" ySplit="2" topLeftCell="F83" activePane="bottomRight" state="frozen"/>
      <selection activeCell="D1" sqref="D1"/>
      <selection pane="topRight" activeCell="F1" sqref="F1"/>
      <selection pane="bottomLeft" activeCell="D3" sqref="D3"/>
      <selection pane="bottomRight" activeCell="AI91" sqref="AI91"/>
    </sheetView>
  </sheetViews>
  <sheetFormatPr baseColWidth="10" defaultRowHeight="15" x14ac:dyDescent="0.25"/>
  <cols>
    <col min="1" max="1" width="21.140625" customWidth="1"/>
    <col min="2" max="2" width="9" customWidth="1"/>
    <col min="3" max="3" width="8.85546875" customWidth="1"/>
    <col min="4" max="4" width="22.85546875" customWidth="1"/>
    <col min="5" max="5" width="7.42578125" customWidth="1"/>
    <col min="6" max="6" width="34.7109375" customWidth="1"/>
    <col min="7" max="15" width="11.42578125" customWidth="1"/>
    <col min="16" max="16" width="3.7109375" hidden="1" customWidth="1"/>
    <col min="17" max="31" width="11.42578125" hidden="1" customWidth="1"/>
  </cols>
  <sheetData>
    <row r="1" spans="1:45" ht="15.75" thickBot="1" x14ac:dyDescent="0.3">
      <c r="Q1" s="186">
        <v>2825708</v>
      </c>
      <c r="R1" s="186"/>
      <c r="S1" s="186"/>
      <c r="T1" s="186">
        <v>2849867</v>
      </c>
      <c r="U1" s="186"/>
      <c r="V1" s="186"/>
      <c r="W1" s="186">
        <v>2950567</v>
      </c>
      <c r="X1" s="186"/>
      <c r="Y1" s="186"/>
      <c r="Z1" s="186">
        <v>2995989</v>
      </c>
      <c r="AA1" s="186"/>
      <c r="AB1" s="186"/>
      <c r="AC1" s="186">
        <v>2996000</v>
      </c>
      <c r="AD1" s="186"/>
      <c r="AE1" s="186"/>
      <c r="AF1" s="324"/>
      <c r="AG1" s="324"/>
      <c r="AH1" s="324"/>
    </row>
    <row r="2" spans="1:45" ht="30.75" customHeight="1" thickBot="1" x14ac:dyDescent="0.3">
      <c r="A2" s="4" t="s">
        <v>0</v>
      </c>
      <c r="B2" s="5" t="s">
        <v>1</v>
      </c>
      <c r="C2" s="5" t="s">
        <v>14</v>
      </c>
      <c r="D2" s="5" t="s">
        <v>2</v>
      </c>
      <c r="E2" s="5" t="s">
        <v>102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M2" s="5" t="s">
        <v>10</v>
      </c>
      <c r="N2" s="5" t="s">
        <v>11</v>
      </c>
      <c r="O2" s="6" t="s">
        <v>12</v>
      </c>
      <c r="Q2" s="170" t="s">
        <v>108</v>
      </c>
      <c r="R2" s="170" t="s">
        <v>109</v>
      </c>
      <c r="S2" s="170" t="s">
        <v>110</v>
      </c>
      <c r="T2" s="170" t="s">
        <v>108</v>
      </c>
      <c r="U2" s="170" t="s">
        <v>109</v>
      </c>
      <c r="V2" s="170" t="s">
        <v>110</v>
      </c>
      <c r="W2" s="170" t="s">
        <v>108</v>
      </c>
      <c r="X2" s="170" t="s">
        <v>109</v>
      </c>
      <c r="Y2" s="170" t="s">
        <v>110</v>
      </c>
      <c r="Z2" s="170" t="s">
        <v>108</v>
      </c>
      <c r="AA2" s="170" t="s">
        <v>109</v>
      </c>
      <c r="AB2" s="170" t="s">
        <v>110</v>
      </c>
      <c r="AC2" s="170" t="s">
        <v>108</v>
      </c>
      <c r="AD2" s="170" t="s">
        <v>109</v>
      </c>
      <c r="AE2" s="170" t="s">
        <v>110</v>
      </c>
      <c r="AF2" s="170" t="s">
        <v>108</v>
      </c>
      <c r="AG2" s="170" t="s">
        <v>109</v>
      </c>
      <c r="AH2" s="170" t="s">
        <v>110</v>
      </c>
      <c r="AI2" s="355" t="s">
        <v>111</v>
      </c>
    </row>
    <row r="3" spans="1:45" ht="36" customHeight="1" x14ac:dyDescent="0.25">
      <c r="A3" s="199" t="s">
        <v>13</v>
      </c>
      <c r="B3" s="325">
        <v>228183</v>
      </c>
      <c r="C3" s="327">
        <v>2</v>
      </c>
      <c r="D3" s="202" t="s">
        <v>26</v>
      </c>
      <c r="E3" s="10">
        <v>4</v>
      </c>
      <c r="F3" s="11" t="s">
        <v>18</v>
      </c>
      <c r="G3" s="205">
        <v>528</v>
      </c>
      <c r="H3" s="12"/>
      <c r="I3" s="12"/>
      <c r="J3" s="12"/>
      <c r="K3" s="12"/>
      <c r="L3" s="12"/>
      <c r="M3" s="12"/>
      <c r="N3" s="12">
        <v>72</v>
      </c>
      <c r="O3" s="272">
        <f>SUM(P3:P6)</f>
        <v>528</v>
      </c>
      <c r="P3" s="9">
        <f>SUM(H3:N3)</f>
        <v>72</v>
      </c>
      <c r="Q3" s="172">
        <v>132</v>
      </c>
      <c r="R3" s="168">
        <f>O3-Q3</f>
        <v>396</v>
      </c>
      <c r="S3" s="169">
        <f>R3/O3</f>
        <v>0.75</v>
      </c>
      <c r="T3" s="2">
        <v>187</v>
      </c>
      <c r="U3" s="2">
        <f>O3-T3</f>
        <v>341</v>
      </c>
      <c r="V3" s="167">
        <f>U3/O3</f>
        <v>0.64583333333333337</v>
      </c>
      <c r="W3" s="2"/>
      <c r="X3" s="2">
        <f>O3-W3</f>
        <v>528</v>
      </c>
      <c r="Y3" s="167">
        <f>X3/O3</f>
        <v>1</v>
      </c>
      <c r="Z3" s="2"/>
      <c r="AA3" s="2">
        <f>O3-Z3</f>
        <v>528</v>
      </c>
      <c r="AB3" s="167">
        <f>AA3/O3</f>
        <v>1</v>
      </c>
      <c r="AC3" s="180"/>
      <c r="AD3" s="2">
        <f>O3-AC3</f>
        <v>528</v>
      </c>
      <c r="AE3" s="167">
        <f>AD3/O3</f>
        <v>1</v>
      </c>
      <c r="AF3" s="184"/>
      <c r="AG3" s="184">
        <f>O3-AF3</f>
        <v>528</v>
      </c>
      <c r="AH3" s="185">
        <f>AG3/O3</f>
        <v>1</v>
      </c>
      <c r="AI3" s="2" t="s">
        <v>112</v>
      </c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30" customHeight="1" x14ac:dyDescent="0.25">
      <c r="A4" s="200"/>
      <c r="B4" s="326"/>
      <c r="C4" s="328"/>
      <c r="D4" s="203"/>
      <c r="E4" s="13">
        <v>2</v>
      </c>
      <c r="F4" s="14" t="s">
        <v>19</v>
      </c>
      <c r="G4" s="206"/>
      <c r="H4" s="15"/>
      <c r="I4" s="15"/>
      <c r="J4" s="15"/>
      <c r="K4" s="15">
        <v>64</v>
      </c>
      <c r="L4" s="15"/>
      <c r="M4" s="15"/>
      <c r="N4" s="15"/>
      <c r="O4" s="273"/>
      <c r="P4" s="9">
        <f>SUM(H4:N4)</f>
        <v>64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29.25" customHeight="1" x14ac:dyDescent="0.25">
      <c r="A5" s="200"/>
      <c r="B5" s="326"/>
      <c r="C5" s="328"/>
      <c r="D5" s="203"/>
      <c r="E5" s="13">
        <v>1</v>
      </c>
      <c r="F5" s="14" t="s">
        <v>20</v>
      </c>
      <c r="G5" s="206"/>
      <c r="H5" s="15"/>
      <c r="I5" s="15"/>
      <c r="J5" s="15"/>
      <c r="K5" s="15">
        <v>80</v>
      </c>
      <c r="L5" s="15"/>
      <c r="M5" s="15"/>
      <c r="N5" s="15"/>
      <c r="O5" s="273"/>
      <c r="P5" s="9">
        <f>SUM(H5:N5)</f>
        <v>80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33.75" customHeight="1" thickBot="1" x14ac:dyDescent="0.3">
      <c r="A6" s="200"/>
      <c r="B6" s="326"/>
      <c r="C6" s="328"/>
      <c r="D6" s="204"/>
      <c r="E6" s="16">
        <v>3</v>
      </c>
      <c r="F6" s="17" t="s">
        <v>21</v>
      </c>
      <c r="G6" s="207"/>
      <c r="H6" s="18"/>
      <c r="I6" s="18"/>
      <c r="J6" s="18"/>
      <c r="K6" s="18"/>
      <c r="L6" s="18">
        <v>72</v>
      </c>
      <c r="M6" s="18">
        <v>72</v>
      </c>
      <c r="N6" s="18">
        <v>168</v>
      </c>
      <c r="O6" s="274"/>
      <c r="P6" s="9">
        <f>SUM(H6:N6)</f>
        <v>312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20.25" customHeight="1" thickBot="1" x14ac:dyDescent="0.3">
      <c r="A7" s="200"/>
      <c r="B7" s="326"/>
      <c r="C7" s="328"/>
      <c r="D7" s="330"/>
      <c r="E7" s="331"/>
      <c r="F7" s="331"/>
      <c r="G7" s="332"/>
      <c r="H7" s="56">
        <f>SUM(H3:H6)</f>
        <v>0</v>
      </c>
      <c r="I7" s="56">
        <f t="shared" ref="I7:N7" si="0">SUM(I3:I6)</f>
        <v>0</v>
      </c>
      <c r="J7" s="56">
        <f t="shared" si="0"/>
        <v>0</v>
      </c>
      <c r="K7" s="56">
        <f t="shared" si="0"/>
        <v>144</v>
      </c>
      <c r="L7" s="56">
        <f t="shared" si="0"/>
        <v>72</v>
      </c>
      <c r="M7" s="56">
        <f t="shared" si="0"/>
        <v>72</v>
      </c>
      <c r="N7" s="56">
        <f t="shared" si="0"/>
        <v>240</v>
      </c>
      <c r="O7" s="57"/>
      <c r="P7" s="9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180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</row>
    <row r="8" spans="1:45" ht="30" customHeight="1" x14ac:dyDescent="0.25">
      <c r="A8" s="200"/>
      <c r="B8" s="326"/>
      <c r="C8" s="328"/>
      <c r="D8" s="214" t="s">
        <v>27</v>
      </c>
      <c r="E8" s="19">
        <v>2</v>
      </c>
      <c r="F8" s="20" t="s">
        <v>23</v>
      </c>
      <c r="G8" s="217">
        <v>384</v>
      </c>
      <c r="H8" s="25"/>
      <c r="I8" s="25"/>
      <c r="J8" s="25"/>
      <c r="K8" s="25"/>
      <c r="L8" s="25">
        <v>72</v>
      </c>
      <c r="M8" s="25"/>
      <c r="N8" s="25"/>
      <c r="O8" s="275">
        <f>SUM(P8:P11)</f>
        <v>384</v>
      </c>
      <c r="P8" s="9">
        <f>SUM(H8:N8)</f>
        <v>72</v>
      </c>
      <c r="Q8" s="173">
        <v>198</v>
      </c>
      <c r="R8" s="2">
        <f>O8-Q8</f>
        <v>186</v>
      </c>
      <c r="S8" s="167">
        <f>R8/O8</f>
        <v>0.484375</v>
      </c>
      <c r="T8" s="1">
        <v>383</v>
      </c>
      <c r="U8" s="2">
        <f>O8-T8</f>
        <v>1</v>
      </c>
      <c r="V8" s="167">
        <f>U8/O8</f>
        <v>2.6041666666666665E-3</v>
      </c>
      <c r="W8" s="2"/>
      <c r="X8" s="2">
        <f>O8-W8</f>
        <v>384</v>
      </c>
      <c r="Y8" s="167">
        <f>X8/O8</f>
        <v>1</v>
      </c>
      <c r="Z8" s="2"/>
      <c r="AA8" s="2">
        <f>O8-Z8</f>
        <v>384</v>
      </c>
      <c r="AB8" s="167">
        <f>AA8/O8</f>
        <v>1</v>
      </c>
      <c r="AC8" s="180"/>
      <c r="AD8" s="2">
        <f>O8-AC8</f>
        <v>384</v>
      </c>
      <c r="AE8" s="167">
        <f>AD8/O8</f>
        <v>1</v>
      </c>
      <c r="AF8" s="3"/>
      <c r="AG8" s="184">
        <f>O8-AF8</f>
        <v>384</v>
      </c>
      <c r="AH8" s="185">
        <f>AG8/O8</f>
        <v>1</v>
      </c>
      <c r="AI8" s="3" t="s">
        <v>113</v>
      </c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9.25" customHeight="1" x14ac:dyDescent="0.25">
      <c r="A9" s="200"/>
      <c r="B9" s="326"/>
      <c r="C9" s="328"/>
      <c r="D9" s="215"/>
      <c r="E9" s="21">
        <v>3</v>
      </c>
      <c r="F9" s="22" t="s">
        <v>24</v>
      </c>
      <c r="G9" s="218"/>
      <c r="H9" s="26"/>
      <c r="I9" s="26"/>
      <c r="J9" s="26"/>
      <c r="K9" s="26"/>
      <c r="L9" s="26"/>
      <c r="M9" s="26">
        <v>144</v>
      </c>
      <c r="N9" s="26"/>
      <c r="O9" s="276"/>
      <c r="P9" s="9">
        <f t="shared" ref="P9:P11" si="1">SUM(H9:N9)</f>
        <v>144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21.75" customHeight="1" x14ac:dyDescent="0.25">
      <c r="A10" s="200"/>
      <c r="B10" s="326"/>
      <c r="C10" s="328"/>
      <c r="D10" s="215"/>
      <c r="E10" s="21">
        <v>1</v>
      </c>
      <c r="F10" s="22" t="s">
        <v>22</v>
      </c>
      <c r="G10" s="218"/>
      <c r="H10" s="26"/>
      <c r="I10" s="26"/>
      <c r="J10" s="26"/>
      <c r="K10" s="26"/>
      <c r="L10" s="26">
        <v>72</v>
      </c>
      <c r="M10" s="26"/>
      <c r="N10" s="26"/>
      <c r="O10" s="276"/>
      <c r="P10" s="9">
        <f t="shared" si="1"/>
        <v>72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42" customHeight="1" thickBot="1" x14ac:dyDescent="0.3">
      <c r="A11" s="200"/>
      <c r="B11" s="326"/>
      <c r="C11" s="328"/>
      <c r="D11" s="216"/>
      <c r="E11" s="23">
        <v>4</v>
      </c>
      <c r="F11" s="24" t="s">
        <v>25</v>
      </c>
      <c r="G11" s="219"/>
      <c r="H11" s="27"/>
      <c r="I11" s="27"/>
      <c r="J11" s="27"/>
      <c r="K11" s="27"/>
      <c r="L11" s="27"/>
      <c r="M11" s="27"/>
      <c r="N11" s="27">
        <v>96</v>
      </c>
      <c r="O11" s="277"/>
      <c r="P11" s="9">
        <f t="shared" si="1"/>
        <v>96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171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ht="20.25" customHeight="1" thickBot="1" x14ac:dyDescent="0.3">
      <c r="A12" s="200"/>
      <c r="B12" s="326"/>
      <c r="C12" s="328"/>
      <c r="D12" s="333"/>
      <c r="E12" s="334"/>
      <c r="F12" s="334"/>
      <c r="G12" s="335"/>
      <c r="H12" s="61">
        <f>SUM(H8:H11)</f>
        <v>0</v>
      </c>
      <c r="I12" s="61">
        <f t="shared" ref="I12:N12" si="2">SUM(I8:I11)</f>
        <v>0</v>
      </c>
      <c r="J12" s="61">
        <f t="shared" si="2"/>
        <v>0</v>
      </c>
      <c r="K12" s="61">
        <f t="shared" si="2"/>
        <v>0</v>
      </c>
      <c r="L12" s="61">
        <f t="shared" si="2"/>
        <v>144</v>
      </c>
      <c r="M12" s="61">
        <f t="shared" si="2"/>
        <v>144</v>
      </c>
      <c r="N12" s="61">
        <f t="shared" si="2"/>
        <v>96</v>
      </c>
      <c r="O12" s="58"/>
      <c r="P12" s="9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180"/>
      <c r="AD12" s="2"/>
      <c r="AE12" s="2"/>
      <c r="AF12" s="2"/>
      <c r="AG12" s="2"/>
      <c r="AH12" s="2"/>
      <c r="AI12" s="120"/>
      <c r="AJ12" s="2"/>
      <c r="AK12" s="2"/>
      <c r="AL12" s="2"/>
      <c r="AM12" s="2"/>
      <c r="AN12" s="2"/>
      <c r="AO12" s="2"/>
      <c r="AP12" s="2"/>
      <c r="AQ12" s="2"/>
      <c r="AR12" s="2"/>
      <c r="AS12" s="2"/>
    </row>
    <row r="13" spans="1:45" ht="28.5" customHeight="1" x14ac:dyDescent="0.25">
      <c r="A13" s="200"/>
      <c r="B13" s="326"/>
      <c r="C13" s="328"/>
      <c r="D13" s="187" t="s">
        <v>28</v>
      </c>
      <c r="E13" s="28"/>
      <c r="F13" s="29" t="s">
        <v>29</v>
      </c>
      <c r="G13" s="190">
        <v>48</v>
      </c>
      <c r="H13" s="34">
        <v>12</v>
      </c>
      <c r="I13" s="34"/>
      <c r="J13" s="34"/>
      <c r="K13" s="34"/>
      <c r="L13" s="34"/>
      <c r="M13" s="34"/>
      <c r="N13" s="34"/>
      <c r="O13" s="278">
        <f t="shared" ref="O13" si="3">SUM(P13:P16)</f>
        <v>48</v>
      </c>
      <c r="P13" s="9">
        <f t="shared" ref="P13:P73" si="4">SUM(H13:N13)</f>
        <v>12</v>
      </c>
      <c r="Q13" s="1"/>
      <c r="R13" s="2">
        <f>O13-Q13</f>
        <v>48</v>
      </c>
      <c r="S13" s="167">
        <f>R13/O13</f>
        <v>1</v>
      </c>
      <c r="T13" s="1"/>
      <c r="U13" s="2">
        <f>O13-T13</f>
        <v>48</v>
      </c>
      <c r="V13" s="167">
        <f>U13/O13</f>
        <v>1</v>
      </c>
      <c r="W13" s="2"/>
      <c r="X13" s="2">
        <f>O13-W13</f>
        <v>48</v>
      </c>
      <c r="Y13" s="167">
        <f>X13/O13</f>
        <v>1</v>
      </c>
      <c r="Z13" s="2"/>
      <c r="AA13" s="2">
        <f>O13-Z13</f>
        <v>48</v>
      </c>
      <c r="AB13" s="167">
        <f>AA13/O13</f>
        <v>1</v>
      </c>
      <c r="AC13" s="181"/>
      <c r="AD13" s="120">
        <f>O13-AC13</f>
        <v>48</v>
      </c>
      <c r="AE13" s="175">
        <f>AD13/O13</f>
        <v>1</v>
      </c>
      <c r="AG13" s="184">
        <f>O13-AF13</f>
        <v>48</v>
      </c>
      <c r="AH13" s="356">
        <f>AG13/O13</f>
        <v>1</v>
      </c>
      <c r="AI13" s="179" t="s">
        <v>112</v>
      </c>
    </row>
    <row r="14" spans="1:45" ht="27.75" customHeight="1" x14ac:dyDescent="0.25">
      <c r="A14" s="200"/>
      <c r="B14" s="326"/>
      <c r="C14" s="328"/>
      <c r="D14" s="188"/>
      <c r="E14" s="30"/>
      <c r="F14" s="31" t="s">
        <v>30</v>
      </c>
      <c r="G14" s="191"/>
      <c r="H14" s="35">
        <v>12</v>
      </c>
      <c r="I14" s="35"/>
      <c r="J14" s="35"/>
      <c r="K14" s="35"/>
      <c r="L14" s="35"/>
      <c r="M14" s="35"/>
      <c r="N14" s="35"/>
      <c r="O14" s="279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179"/>
      <c r="AI14" s="179"/>
    </row>
    <row r="15" spans="1:45" ht="22.5" customHeight="1" x14ac:dyDescent="0.25">
      <c r="A15" s="200"/>
      <c r="B15" s="326"/>
      <c r="C15" s="328"/>
      <c r="D15" s="188"/>
      <c r="E15" s="30"/>
      <c r="F15" s="31" t="s">
        <v>31</v>
      </c>
      <c r="G15" s="191"/>
      <c r="H15" s="35">
        <v>12</v>
      </c>
      <c r="I15" s="35"/>
      <c r="J15" s="35"/>
      <c r="K15" s="35"/>
      <c r="L15" s="35"/>
      <c r="M15" s="35"/>
      <c r="N15" s="35"/>
      <c r="O15" s="279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179"/>
      <c r="AI15" s="179"/>
    </row>
    <row r="16" spans="1:45" ht="27" customHeight="1" thickBot="1" x14ac:dyDescent="0.3">
      <c r="A16" s="200"/>
      <c r="B16" s="326"/>
      <c r="C16" s="328"/>
      <c r="D16" s="189"/>
      <c r="E16" s="32"/>
      <c r="F16" s="33" t="s">
        <v>32</v>
      </c>
      <c r="G16" s="192"/>
      <c r="H16" s="36">
        <v>12</v>
      </c>
      <c r="I16" s="36"/>
      <c r="J16" s="36"/>
      <c r="K16" s="36"/>
      <c r="L16" s="36"/>
      <c r="M16" s="36"/>
      <c r="N16" s="36"/>
      <c r="O16" s="280"/>
      <c r="P16" s="9">
        <f t="shared" si="4"/>
        <v>12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78"/>
      <c r="AC16" s="179"/>
      <c r="AD16" s="179"/>
      <c r="AE16" s="179"/>
      <c r="AI16" s="179"/>
    </row>
    <row r="17" spans="1:45" ht="20.25" customHeight="1" thickBot="1" x14ac:dyDescent="0.3">
      <c r="A17" s="200"/>
      <c r="B17" s="326"/>
      <c r="C17" s="328"/>
      <c r="D17" s="330"/>
      <c r="E17" s="331"/>
      <c r="F17" s="331"/>
      <c r="G17" s="332"/>
      <c r="H17" s="56">
        <f>SUM(H13:H16)</f>
        <v>48</v>
      </c>
      <c r="I17" s="56">
        <f t="shared" ref="I17:N17" si="5">SUM(I13:I16)</f>
        <v>0</v>
      </c>
      <c r="J17" s="56">
        <f t="shared" si="5"/>
        <v>0</v>
      </c>
      <c r="K17" s="56">
        <f t="shared" si="5"/>
        <v>0</v>
      </c>
      <c r="L17" s="56">
        <f t="shared" si="5"/>
        <v>0</v>
      </c>
      <c r="M17" s="56">
        <f t="shared" si="5"/>
        <v>0</v>
      </c>
      <c r="N17" s="56">
        <f t="shared" si="5"/>
        <v>0</v>
      </c>
      <c r="O17" s="57"/>
      <c r="P17" s="9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182"/>
      <c r="AD17" s="168"/>
      <c r="AE17" s="168"/>
      <c r="AF17" s="2"/>
      <c r="AG17" s="2"/>
      <c r="AH17" s="2"/>
      <c r="AI17" s="168"/>
      <c r="AJ17" s="2"/>
      <c r="AK17" s="2"/>
      <c r="AL17" s="2"/>
      <c r="AM17" s="2"/>
      <c r="AN17" s="2"/>
      <c r="AO17" s="2"/>
      <c r="AP17" s="2"/>
      <c r="AQ17" s="2"/>
      <c r="AR17" s="2"/>
      <c r="AS17" s="2"/>
    </row>
    <row r="18" spans="1:45" ht="45.75" customHeight="1" x14ac:dyDescent="0.25">
      <c r="A18" s="200"/>
      <c r="B18" s="326"/>
      <c r="C18" s="328"/>
      <c r="D18" s="193" t="s">
        <v>33</v>
      </c>
      <c r="E18" s="37"/>
      <c r="F18" s="38" t="s">
        <v>34</v>
      </c>
      <c r="G18" s="196">
        <v>48</v>
      </c>
      <c r="H18" s="44"/>
      <c r="I18" s="44">
        <v>12</v>
      </c>
      <c r="J18" s="44"/>
      <c r="K18" s="44"/>
      <c r="L18" s="44"/>
      <c r="M18" s="44"/>
      <c r="N18" s="44"/>
      <c r="O18" s="281">
        <f t="shared" ref="O18" si="6">SUM(P18:P21)</f>
        <v>48</v>
      </c>
      <c r="P18" s="9">
        <f t="shared" si="4"/>
        <v>12</v>
      </c>
      <c r="Q18" s="3"/>
      <c r="R18" s="2">
        <f>O18-Q18</f>
        <v>48</v>
      </c>
      <c r="S18" s="167">
        <f>R18/O18</f>
        <v>1</v>
      </c>
      <c r="T18" s="3"/>
      <c r="U18" s="2">
        <f>O18-T18</f>
        <v>48</v>
      </c>
      <c r="V18" s="167">
        <f>U18/O18</f>
        <v>1</v>
      </c>
      <c r="W18" s="2"/>
      <c r="X18" s="2">
        <f>O18-W18</f>
        <v>48</v>
      </c>
      <c r="Y18" s="167">
        <f>X18/O18</f>
        <v>1</v>
      </c>
      <c r="Z18" s="2"/>
      <c r="AA18" s="2">
        <f>O18-Z18</f>
        <v>48</v>
      </c>
      <c r="AB18" s="167">
        <f>AA18/O18</f>
        <v>1</v>
      </c>
      <c r="AC18" s="180"/>
      <c r="AD18" s="2">
        <f>O18-AC18</f>
        <v>48</v>
      </c>
      <c r="AE18" s="167">
        <f>AD18/O18</f>
        <v>1</v>
      </c>
      <c r="AF18" s="3"/>
      <c r="AG18" s="184">
        <f>O18-AF18</f>
        <v>48</v>
      </c>
      <c r="AH18" s="185">
        <f>AG18/O18</f>
        <v>1</v>
      </c>
      <c r="AI18" s="3" t="s">
        <v>117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9" customHeight="1" x14ac:dyDescent="0.25">
      <c r="A19" s="200"/>
      <c r="B19" s="326"/>
      <c r="C19" s="328"/>
      <c r="D19" s="194"/>
      <c r="E19" s="39"/>
      <c r="F19" s="40" t="s">
        <v>35</v>
      </c>
      <c r="G19" s="197"/>
      <c r="H19" s="45"/>
      <c r="I19" s="45">
        <v>12</v>
      </c>
      <c r="J19" s="45"/>
      <c r="K19" s="45"/>
      <c r="L19" s="45"/>
      <c r="M19" s="45"/>
      <c r="N19" s="45"/>
      <c r="O19" s="282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30" customHeight="1" x14ac:dyDescent="0.25">
      <c r="A20" s="200"/>
      <c r="B20" s="326"/>
      <c r="C20" s="328"/>
      <c r="D20" s="194"/>
      <c r="E20" s="39"/>
      <c r="F20" s="40" t="s">
        <v>36</v>
      </c>
      <c r="G20" s="197"/>
      <c r="H20" s="45"/>
      <c r="I20" s="45">
        <v>12</v>
      </c>
      <c r="J20" s="45"/>
      <c r="K20" s="45"/>
      <c r="L20" s="45"/>
      <c r="M20" s="45"/>
      <c r="N20" s="45"/>
      <c r="O20" s="282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45.75" customHeight="1" thickBot="1" x14ac:dyDescent="0.3">
      <c r="A21" s="200"/>
      <c r="B21" s="326"/>
      <c r="C21" s="328"/>
      <c r="D21" s="195"/>
      <c r="E21" s="41"/>
      <c r="F21" s="42" t="s">
        <v>37</v>
      </c>
      <c r="G21" s="198"/>
      <c r="H21" s="46"/>
      <c r="I21" s="46">
        <v>12</v>
      </c>
      <c r="J21" s="46"/>
      <c r="K21" s="46"/>
      <c r="L21" s="46"/>
      <c r="M21" s="46"/>
      <c r="N21" s="46"/>
      <c r="O21" s="283"/>
      <c r="P21" s="9">
        <f t="shared" si="4"/>
        <v>12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171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ht="20.25" customHeight="1" thickBot="1" x14ac:dyDescent="0.3">
      <c r="A22" s="200"/>
      <c r="B22" s="326"/>
      <c r="C22" s="328"/>
      <c r="D22" s="336"/>
      <c r="E22" s="337"/>
      <c r="F22" s="337"/>
      <c r="G22" s="338"/>
      <c r="H22" s="62">
        <f>SUM(H18:H21)</f>
        <v>0</v>
      </c>
      <c r="I22" s="62">
        <f t="shared" ref="I22" si="7">SUM(I18:I21)</f>
        <v>48</v>
      </c>
      <c r="J22" s="62">
        <f t="shared" ref="J22" si="8">SUM(J18:J21)</f>
        <v>0</v>
      </c>
      <c r="K22" s="62">
        <f t="shared" ref="K22" si="9">SUM(K18:K21)</f>
        <v>0</v>
      </c>
      <c r="L22" s="62">
        <f t="shared" ref="L22" si="10">SUM(L18:L21)</f>
        <v>0</v>
      </c>
      <c r="M22" s="62">
        <f t="shared" ref="M22" si="11">SUM(M18:M21)</f>
        <v>0</v>
      </c>
      <c r="N22" s="62">
        <f t="shared" ref="N22" si="12">SUM(N18:N21)</f>
        <v>0</v>
      </c>
      <c r="O22" s="60"/>
      <c r="P22" s="9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180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</row>
    <row r="23" spans="1:45" ht="28.5" customHeight="1" x14ac:dyDescent="0.25">
      <c r="A23" s="200"/>
      <c r="B23" s="326"/>
      <c r="C23" s="328"/>
      <c r="D23" s="208" t="s">
        <v>42</v>
      </c>
      <c r="E23" s="47">
        <v>4</v>
      </c>
      <c r="F23" s="48" t="s">
        <v>41</v>
      </c>
      <c r="G23" s="211">
        <v>336</v>
      </c>
      <c r="H23" s="53"/>
      <c r="I23" s="53"/>
      <c r="J23" s="53"/>
      <c r="K23" s="53"/>
      <c r="L23" s="53"/>
      <c r="M23" s="53"/>
      <c r="N23" s="53"/>
      <c r="O23" s="267">
        <f t="shared" ref="O23" si="13">SUM(P23:P26)</f>
        <v>336</v>
      </c>
      <c r="P23" s="9">
        <f t="shared" si="4"/>
        <v>0</v>
      </c>
      <c r="Q23" s="1">
        <v>330</v>
      </c>
      <c r="R23" s="2">
        <f>O23-Q23</f>
        <v>6</v>
      </c>
      <c r="S23" s="167">
        <f>R23/O23</f>
        <v>1.7857142857142856E-2</v>
      </c>
      <c r="T23" s="1">
        <v>330</v>
      </c>
      <c r="U23" s="2">
        <f>O23-T23</f>
        <v>6</v>
      </c>
      <c r="V23" s="167">
        <f>U23/O23</f>
        <v>1.7857142857142856E-2</v>
      </c>
      <c r="W23" s="2">
        <v>560</v>
      </c>
      <c r="X23" s="2">
        <f>O23-W23</f>
        <v>-224</v>
      </c>
      <c r="Y23" s="167">
        <f>X23/O23</f>
        <v>-0.66666666666666663</v>
      </c>
      <c r="Z23" s="2">
        <v>324</v>
      </c>
      <c r="AA23" s="2">
        <f>O23-Z23</f>
        <v>12</v>
      </c>
      <c r="AB23" s="167">
        <f>AA23/O23</f>
        <v>3.5714285714285712E-2</v>
      </c>
      <c r="AC23" s="180">
        <v>330</v>
      </c>
      <c r="AD23" s="2">
        <f>O23-AC23</f>
        <v>6</v>
      </c>
      <c r="AE23" s="167">
        <f>AD23/O23</f>
        <v>1.7857142857142856E-2</v>
      </c>
      <c r="AF23" s="3"/>
      <c r="AG23" s="184">
        <f>O23-AF23</f>
        <v>336</v>
      </c>
      <c r="AH23" s="185">
        <f>AG23/O23</f>
        <v>1</v>
      </c>
      <c r="AI23" s="3" t="s">
        <v>118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24" customHeight="1" x14ac:dyDescent="0.25">
      <c r="A24" s="200"/>
      <c r="B24" s="326"/>
      <c r="C24" s="328"/>
      <c r="D24" s="209"/>
      <c r="E24" s="49">
        <v>2</v>
      </c>
      <c r="F24" s="50" t="s">
        <v>38</v>
      </c>
      <c r="G24" s="212"/>
      <c r="H24" s="54">
        <v>72</v>
      </c>
      <c r="I24" s="54"/>
      <c r="J24" s="54"/>
      <c r="K24" s="54"/>
      <c r="L24" s="54"/>
      <c r="M24" s="54"/>
      <c r="N24" s="54"/>
      <c r="O24" s="268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24.75" customHeight="1" x14ac:dyDescent="0.25">
      <c r="A25" s="200"/>
      <c r="B25" s="326"/>
      <c r="C25" s="328"/>
      <c r="D25" s="209"/>
      <c r="E25" s="49">
        <v>1</v>
      </c>
      <c r="F25" s="50" t="s">
        <v>39</v>
      </c>
      <c r="G25" s="212"/>
      <c r="H25" s="54">
        <v>72</v>
      </c>
      <c r="I25" s="54"/>
      <c r="J25" s="54"/>
      <c r="K25" s="54"/>
      <c r="L25" s="54"/>
      <c r="M25" s="54"/>
      <c r="N25" s="54"/>
      <c r="O25" s="268"/>
      <c r="P25" s="9">
        <f t="shared" si="4"/>
        <v>72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2.5" customHeight="1" thickBot="1" x14ac:dyDescent="0.3">
      <c r="A26" s="200"/>
      <c r="B26" s="326"/>
      <c r="C26" s="328"/>
      <c r="D26" s="210"/>
      <c r="E26" s="51">
        <v>3</v>
      </c>
      <c r="F26" s="52" t="s">
        <v>40</v>
      </c>
      <c r="G26" s="213"/>
      <c r="H26" s="55"/>
      <c r="I26" s="55">
        <v>72</v>
      </c>
      <c r="J26" s="55">
        <v>120</v>
      </c>
      <c r="K26" s="55"/>
      <c r="L26" s="55"/>
      <c r="M26" s="55"/>
      <c r="N26" s="55"/>
      <c r="O26" s="269"/>
      <c r="P26" s="9">
        <f t="shared" si="4"/>
        <v>192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171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ht="20.25" customHeight="1" thickBot="1" x14ac:dyDescent="0.3">
      <c r="A27" s="200"/>
      <c r="B27" s="326"/>
      <c r="C27" s="328"/>
      <c r="D27" s="339"/>
      <c r="E27" s="340"/>
      <c r="F27" s="340"/>
      <c r="G27" s="341"/>
      <c r="H27" s="64">
        <f>SUM(H23:H26)</f>
        <v>144</v>
      </c>
      <c r="I27" s="64">
        <f t="shared" ref="I27" si="14">SUM(I23:I26)</f>
        <v>72</v>
      </c>
      <c r="J27" s="64">
        <f t="shared" ref="J27" si="15">SUM(J23:J26)</f>
        <v>120</v>
      </c>
      <c r="K27" s="64">
        <f t="shared" ref="K27" si="16">SUM(K23:K26)</f>
        <v>0</v>
      </c>
      <c r="L27" s="64">
        <f t="shared" ref="L27" si="17">SUM(L23:L26)</f>
        <v>0</v>
      </c>
      <c r="M27" s="64">
        <f t="shared" ref="M27" si="18">SUM(M23:M26)</f>
        <v>0</v>
      </c>
      <c r="N27" s="64">
        <f t="shared" ref="N27" si="19">SUM(N23:N26)</f>
        <v>0</v>
      </c>
      <c r="O27" s="63"/>
      <c r="P27" s="9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180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</row>
    <row r="28" spans="1:45" ht="27" customHeight="1" x14ac:dyDescent="0.25">
      <c r="A28" s="200"/>
      <c r="B28" s="326"/>
      <c r="C28" s="328"/>
      <c r="D28" s="232" t="s">
        <v>43</v>
      </c>
      <c r="E28" s="65">
        <v>4</v>
      </c>
      <c r="F28" s="66" t="s">
        <v>52</v>
      </c>
      <c r="G28" s="220">
        <v>576</v>
      </c>
      <c r="H28" s="73"/>
      <c r="I28" s="73"/>
      <c r="J28" s="73"/>
      <c r="K28" s="73"/>
      <c r="L28" s="73"/>
      <c r="M28" s="73">
        <v>72</v>
      </c>
      <c r="N28" s="73"/>
      <c r="O28" s="284">
        <f t="shared" ref="O28" si="20">SUM(P28:P31)</f>
        <v>576</v>
      </c>
      <c r="P28" s="9">
        <f t="shared" si="4"/>
        <v>72</v>
      </c>
      <c r="Q28" s="1">
        <v>383</v>
      </c>
      <c r="R28" s="2">
        <f>O28-Q28</f>
        <v>193</v>
      </c>
      <c r="S28" s="167">
        <f>R28/O28</f>
        <v>0.33506944444444442</v>
      </c>
      <c r="T28" s="171">
        <v>383</v>
      </c>
      <c r="U28" s="2">
        <f>O28-T28</f>
        <v>193</v>
      </c>
      <c r="V28" s="167">
        <f>U28/O28</f>
        <v>0.33506944444444442</v>
      </c>
      <c r="W28" s="2">
        <v>132</v>
      </c>
      <c r="X28" s="2">
        <f>O28-W28</f>
        <v>444</v>
      </c>
      <c r="Y28" s="167">
        <f>X28/O28</f>
        <v>0.77083333333333337</v>
      </c>
      <c r="Z28" s="2">
        <v>318</v>
      </c>
      <c r="AA28" s="2">
        <f>O28-Z28</f>
        <v>258</v>
      </c>
      <c r="AB28" s="167">
        <f>AA28/O28</f>
        <v>0.44791666666666669</v>
      </c>
      <c r="AC28" s="180">
        <v>166</v>
      </c>
      <c r="AD28" s="2">
        <f>O28-AC28</f>
        <v>410</v>
      </c>
      <c r="AE28" s="167">
        <f>AD28/O28</f>
        <v>0.71180555555555558</v>
      </c>
      <c r="AF28" s="3"/>
      <c r="AG28" s="184">
        <f>O28-AF28</f>
        <v>576</v>
      </c>
      <c r="AH28" s="185">
        <f>AG28/O28</f>
        <v>1</v>
      </c>
      <c r="AI28" s="3" t="s">
        <v>112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27.75" customHeight="1" x14ac:dyDescent="0.25">
      <c r="A29" s="200"/>
      <c r="B29" s="326"/>
      <c r="C29" s="328"/>
      <c r="D29" s="233"/>
      <c r="E29" s="67">
        <v>2</v>
      </c>
      <c r="F29" s="68" t="s">
        <v>53</v>
      </c>
      <c r="G29" s="221"/>
      <c r="H29" s="74"/>
      <c r="I29" s="74">
        <v>72</v>
      </c>
      <c r="J29" s="74"/>
      <c r="K29" s="74"/>
      <c r="L29" s="74"/>
      <c r="M29" s="74"/>
      <c r="N29" s="74"/>
      <c r="O29" s="285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30" customHeight="1" x14ac:dyDescent="0.25">
      <c r="A30" s="200"/>
      <c r="B30" s="326"/>
      <c r="C30" s="328"/>
      <c r="D30" s="233"/>
      <c r="E30" s="67">
        <v>1</v>
      </c>
      <c r="F30" s="68" t="s">
        <v>54</v>
      </c>
      <c r="G30" s="221"/>
      <c r="H30" s="74">
        <v>72</v>
      </c>
      <c r="I30" s="74"/>
      <c r="J30" s="74"/>
      <c r="K30" s="74"/>
      <c r="L30" s="74"/>
      <c r="M30" s="74"/>
      <c r="N30" s="74"/>
      <c r="O30" s="285"/>
      <c r="P30" s="9">
        <f t="shared" si="4"/>
        <v>72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7.75" customHeight="1" thickBot="1" x14ac:dyDescent="0.3">
      <c r="A31" s="200"/>
      <c r="B31" s="326"/>
      <c r="C31" s="328"/>
      <c r="D31" s="234"/>
      <c r="E31" s="69">
        <v>3</v>
      </c>
      <c r="F31" s="70" t="s">
        <v>55</v>
      </c>
      <c r="G31" s="222"/>
      <c r="H31" s="75"/>
      <c r="I31" s="75">
        <v>72</v>
      </c>
      <c r="J31" s="75">
        <v>144</v>
      </c>
      <c r="K31" s="75">
        <v>72</v>
      </c>
      <c r="L31" s="75">
        <v>72</v>
      </c>
      <c r="M31" s="75"/>
      <c r="N31" s="75"/>
      <c r="O31" s="286"/>
      <c r="P31" s="9">
        <f t="shared" si="4"/>
        <v>360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171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ht="20.25" customHeight="1" thickBot="1" x14ac:dyDescent="0.3">
      <c r="A32" s="200"/>
      <c r="B32" s="326"/>
      <c r="C32" s="328"/>
      <c r="D32" s="342"/>
      <c r="E32" s="343"/>
      <c r="F32" s="343"/>
      <c r="G32" s="344"/>
      <c r="H32" s="71">
        <f>SUM(H28:H31)</f>
        <v>72</v>
      </c>
      <c r="I32" s="71">
        <f t="shared" ref="I32" si="21">SUM(I28:I31)</f>
        <v>144</v>
      </c>
      <c r="J32" s="71">
        <f t="shared" ref="J32" si="22">SUM(J28:J31)</f>
        <v>144</v>
      </c>
      <c r="K32" s="71">
        <f t="shared" ref="K32" si="23">SUM(K28:K31)</f>
        <v>72</v>
      </c>
      <c r="L32" s="71">
        <f t="shared" ref="L32" si="24">SUM(L28:L31)</f>
        <v>72</v>
      </c>
      <c r="M32" s="71">
        <f t="shared" ref="M32" si="25">SUM(M28:M31)</f>
        <v>72</v>
      </c>
      <c r="N32" s="71">
        <f t="shared" ref="N32" si="26">SUM(N28:N31)</f>
        <v>0</v>
      </c>
      <c r="O32" s="72"/>
      <c r="P32" s="9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180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</row>
    <row r="33" spans="1:45" ht="30" customHeight="1" x14ac:dyDescent="0.25">
      <c r="A33" s="200"/>
      <c r="B33" s="326"/>
      <c r="C33" s="328"/>
      <c r="D33" s="299" t="s">
        <v>44</v>
      </c>
      <c r="E33" s="76"/>
      <c r="F33" s="77" t="s">
        <v>56</v>
      </c>
      <c r="G33" s="223">
        <v>48</v>
      </c>
      <c r="H33" s="82"/>
      <c r="I33" s="82"/>
      <c r="J33" s="82"/>
      <c r="K33" s="82"/>
      <c r="L33" s="82"/>
      <c r="M33" s="82">
        <v>12</v>
      </c>
      <c r="N33" s="82"/>
      <c r="O33" s="293">
        <f t="shared" ref="O33" si="27">SUM(P33:P36)</f>
        <v>48</v>
      </c>
      <c r="P33" s="9">
        <f t="shared" si="4"/>
        <v>12</v>
      </c>
      <c r="Q33" s="1"/>
      <c r="R33" s="2">
        <f>O33-Q33</f>
        <v>48</v>
      </c>
      <c r="S33" s="167">
        <f>R33/O33</f>
        <v>1</v>
      </c>
      <c r="T33" s="1"/>
      <c r="U33" s="2">
        <f>O33-T33</f>
        <v>48</v>
      </c>
      <c r="V33" s="167">
        <f>U33/O33</f>
        <v>1</v>
      </c>
      <c r="W33" s="2"/>
      <c r="X33" s="2">
        <f>O33-W33</f>
        <v>48</v>
      </c>
      <c r="Y33" s="167">
        <f>X33/O33</f>
        <v>1</v>
      </c>
      <c r="Z33" s="2"/>
      <c r="AA33" s="2">
        <f>O33-Z33</f>
        <v>48</v>
      </c>
      <c r="AB33" s="167">
        <f>AA33/O33</f>
        <v>1</v>
      </c>
      <c r="AC33" s="181"/>
      <c r="AD33" s="120">
        <f>O33-AC33</f>
        <v>48</v>
      </c>
      <c r="AE33" s="175">
        <f>AD33/O33</f>
        <v>1</v>
      </c>
      <c r="AG33" s="184">
        <f>O33-AF33</f>
        <v>48</v>
      </c>
      <c r="AH33" s="185">
        <f>AG33/O33</f>
        <v>1</v>
      </c>
      <c r="AI33" t="s">
        <v>119</v>
      </c>
    </row>
    <row r="34" spans="1:45" ht="39.75" customHeight="1" x14ac:dyDescent="0.25">
      <c r="A34" s="200"/>
      <c r="B34" s="326"/>
      <c r="C34" s="328"/>
      <c r="D34" s="300"/>
      <c r="E34" s="78"/>
      <c r="F34" s="79" t="s">
        <v>57</v>
      </c>
      <c r="G34" s="224"/>
      <c r="H34" s="83"/>
      <c r="I34" s="83"/>
      <c r="J34" s="83"/>
      <c r="K34" s="83"/>
      <c r="L34" s="83"/>
      <c r="M34" s="83">
        <v>12</v>
      </c>
      <c r="N34" s="83"/>
      <c r="O34" s="294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179"/>
    </row>
    <row r="35" spans="1:45" ht="29.25" customHeight="1" x14ac:dyDescent="0.25">
      <c r="A35" s="200"/>
      <c r="B35" s="326"/>
      <c r="C35" s="328"/>
      <c r="D35" s="300"/>
      <c r="E35" s="78"/>
      <c r="F35" s="79" t="s">
        <v>58</v>
      </c>
      <c r="G35" s="224"/>
      <c r="H35" s="83"/>
      <c r="I35" s="83"/>
      <c r="J35" s="83"/>
      <c r="K35" s="83"/>
      <c r="L35" s="83"/>
      <c r="M35" s="83">
        <v>12</v>
      </c>
      <c r="N35" s="83"/>
      <c r="O35" s="294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179"/>
    </row>
    <row r="36" spans="1:45" ht="39" customHeight="1" thickBot="1" x14ac:dyDescent="0.3">
      <c r="A36" s="200"/>
      <c r="B36" s="326"/>
      <c r="C36" s="328"/>
      <c r="D36" s="301"/>
      <c r="E36" s="80"/>
      <c r="F36" s="81" t="s">
        <v>59</v>
      </c>
      <c r="G36" s="225"/>
      <c r="H36" s="84"/>
      <c r="I36" s="84"/>
      <c r="J36" s="84"/>
      <c r="K36" s="84"/>
      <c r="L36" s="84"/>
      <c r="M36" s="84">
        <v>12</v>
      </c>
      <c r="N36" s="84"/>
      <c r="O36" s="295"/>
      <c r="P36" s="9">
        <f t="shared" si="4"/>
        <v>12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78"/>
      <c r="AC36" s="179"/>
      <c r="AD36" s="179"/>
      <c r="AE36" s="179"/>
    </row>
    <row r="37" spans="1:45" ht="20.25" customHeight="1" thickBot="1" x14ac:dyDescent="0.3">
      <c r="A37" s="200"/>
      <c r="B37" s="326"/>
      <c r="C37" s="328"/>
      <c r="D37" s="287"/>
      <c r="E37" s="288"/>
      <c r="F37" s="288"/>
      <c r="G37" s="289"/>
      <c r="H37" s="86">
        <f>SUM(H33:H36)</f>
        <v>0</v>
      </c>
      <c r="I37" s="86">
        <f t="shared" ref="I37" si="28">SUM(I33:I36)</f>
        <v>0</v>
      </c>
      <c r="J37" s="86">
        <f t="shared" ref="J37" si="29">SUM(J33:J36)</f>
        <v>0</v>
      </c>
      <c r="K37" s="86">
        <f t="shared" ref="K37" si="30">SUM(K33:K36)</f>
        <v>0</v>
      </c>
      <c r="L37" s="86">
        <f t="shared" ref="L37" si="31">SUM(L33:L36)</f>
        <v>0</v>
      </c>
      <c r="M37" s="86">
        <f t="shared" ref="M37" si="32">SUM(M33:M36)</f>
        <v>48</v>
      </c>
      <c r="N37" s="86">
        <f t="shared" ref="N37" si="33">SUM(N33:N36)</f>
        <v>0</v>
      </c>
      <c r="O37" s="85"/>
      <c r="P37" s="9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182"/>
      <c r="AD37" s="168"/>
      <c r="AE37" s="168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</row>
    <row r="38" spans="1:45" ht="22.5" customHeight="1" x14ac:dyDescent="0.25">
      <c r="A38" s="200"/>
      <c r="B38" s="326"/>
      <c r="C38" s="328"/>
      <c r="D38" s="226" t="s">
        <v>45</v>
      </c>
      <c r="E38" s="87"/>
      <c r="F38" s="88" t="s">
        <v>61</v>
      </c>
      <c r="G38" s="229">
        <v>48</v>
      </c>
      <c r="H38" s="95"/>
      <c r="I38" s="95"/>
      <c r="J38" s="95"/>
      <c r="K38" s="95"/>
      <c r="L38" s="95"/>
      <c r="M38" s="95"/>
      <c r="N38" s="95">
        <v>12</v>
      </c>
      <c r="O38" s="296">
        <f t="shared" ref="O38" si="34">SUM(P38:P41)</f>
        <v>48</v>
      </c>
      <c r="P38" s="9">
        <f t="shared" si="4"/>
        <v>12</v>
      </c>
      <c r="Q38" s="3"/>
      <c r="R38" s="2">
        <f>O38-Q38</f>
        <v>48</v>
      </c>
      <c r="S38" s="167">
        <f>R38/O38</f>
        <v>1</v>
      </c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184">
        <f>O38-AF38</f>
        <v>48</v>
      </c>
      <c r="AH38" s="185">
        <f>AG38/O38</f>
        <v>1</v>
      </c>
      <c r="AI38" s="3" t="s">
        <v>114</v>
      </c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25">
      <c r="A39" s="200"/>
      <c r="B39" s="326"/>
      <c r="C39" s="328"/>
      <c r="D39" s="227"/>
      <c r="E39" s="89"/>
      <c r="F39" s="90" t="s">
        <v>62</v>
      </c>
      <c r="G39" s="230"/>
      <c r="H39" s="96"/>
      <c r="I39" s="96"/>
      <c r="J39" s="96"/>
      <c r="K39" s="96"/>
      <c r="L39" s="96"/>
      <c r="M39" s="96"/>
      <c r="N39" s="96">
        <v>12</v>
      </c>
      <c r="O39" s="297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9.25" customHeight="1" x14ac:dyDescent="0.25">
      <c r="A40" s="200"/>
      <c r="B40" s="326"/>
      <c r="C40" s="328"/>
      <c r="D40" s="227"/>
      <c r="E40" s="89"/>
      <c r="F40" s="90" t="s">
        <v>63</v>
      </c>
      <c r="G40" s="230"/>
      <c r="H40" s="96"/>
      <c r="I40" s="96"/>
      <c r="J40" s="96"/>
      <c r="K40" s="96"/>
      <c r="L40" s="96"/>
      <c r="M40" s="96"/>
      <c r="N40" s="96">
        <v>12</v>
      </c>
      <c r="O40" s="297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4" customHeight="1" thickBot="1" x14ac:dyDescent="0.3">
      <c r="A41" s="200"/>
      <c r="B41" s="326"/>
      <c r="C41" s="328"/>
      <c r="D41" s="228"/>
      <c r="E41" s="91"/>
      <c r="F41" s="92" t="s">
        <v>60</v>
      </c>
      <c r="G41" s="231"/>
      <c r="H41" s="97"/>
      <c r="I41" s="97"/>
      <c r="J41" s="97"/>
      <c r="K41" s="97"/>
      <c r="L41" s="97"/>
      <c r="M41" s="97"/>
      <c r="N41" s="97">
        <v>12</v>
      </c>
      <c r="O41" s="298"/>
      <c r="P41" s="9">
        <f t="shared" si="4"/>
        <v>12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171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ht="20.25" customHeight="1" thickBot="1" x14ac:dyDescent="0.3">
      <c r="A42" s="200"/>
      <c r="B42" s="326"/>
      <c r="C42" s="328"/>
      <c r="D42" s="290"/>
      <c r="E42" s="291"/>
      <c r="F42" s="291"/>
      <c r="G42" s="292"/>
      <c r="H42" s="93">
        <f>SUM(H38:H41)</f>
        <v>0</v>
      </c>
      <c r="I42" s="93">
        <f t="shared" ref="I42" si="35">SUM(I38:I41)</f>
        <v>0</v>
      </c>
      <c r="J42" s="93">
        <f t="shared" ref="J42" si="36">SUM(J38:J41)</f>
        <v>0</v>
      </c>
      <c r="K42" s="93">
        <f t="shared" ref="K42" si="37">SUM(K38:K41)</f>
        <v>0</v>
      </c>
      <c r="L42" s="93">
        <f t="shared" ref="L42" si="38">SUM(L38:L41)</f>
        <v>0</v>
      </c>
      <c r="M42" s="93">
        <f t="shared" ref="M42" si="39">SUM(M38:M41)</f>
        <v>0</v>
      </c>
      <c r="N42" s="93">
        <f t="shared" ref="N42" si="40">SUM(N38:N41)</f>
        <v>48</v>
      </c>
      <c r="O42" s="94"/>
      <c r="P42" s="9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180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</row>
    <row r="43" spans="1:45" ht="30" customHeight="1" x14ac:dyDescent="0.25">
      <c r="A43" s="200"/>
      <c r="B43" s="326"/>
      <c r="C43" s="328"/>
      <c r="D43" s="187" t="s">
        <v>103</v>
      </c>
      <c r="E43" s="28"/>
      <c r="F43" s="29" t="s">
        <v>64</v>
      </c>
      <c r="G43" s="190">
        <v>48</v>
      </c>
      <c r="H43" s="34">
        <v>12</v>
      </c>
      <c r="I43" s="34"/>
      <c r="J43" s="34"/>
      <c r="K43" s="34"/>
      <c r="L43" s="34"/>
      <c r="M43" s="34"/>
      <c r="N43" s="34"/>
      <c r="O43" s="278">
        <f t="shared" ref="O43" si="41">SUM(P43:P46)</f>
        <v>48</v>
      </c>
      <c r="P43" s="9">
        <f t="shared" si="4"/>
        <v>12</v>
      </c>
      <c r="Q43" s="3"/>
      <c r="R43" s="2">
        <f>O43-Q43</f>
        <v>48</v>
      </c>
      <c r="S43" s="167">
        <f>R43/O43</f>
        <v>1</v>
      </c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184">
        <f>O43-AF43</f>
        <v>48</v>
      </c>
      <c r="AH43" s="185">
        <f>AG43/O43</f>
        <v>1</v>
      </c>
      <c r="AI43" s="3" t="s">
        <v>120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8.25" customHeight="1" x14ac:dyDescent="0.25">
      <c r="A44" s="200"/>
      <c r="B44" s="326"/>
      <c r="C44" s="328"/>
      <c r="D44" s="188"/>
      <c r="E44" s="30"/>
      <c r="F44" s="31" t="s">
        <v>65</v>
      </c>
      <c r="G44" s="191"/>
      <c r="H44" s="35">
        <v>12</v>
      </c>
      <c r="I44" s="35"/>
      <c r="J44" s="35"/>
      <c r="K44" s="35"/>
      <c r="L44" s="35"/>
      <c r="M44" s="35"/>
      <c r="N44" s="35"/>
      <c r="O44" s="279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0" customHeight="1" x14ac:dyDescent="0.25">
      <c r="A45" s="200"/>
      <c r="B45" s="326"/>
      <c r="C45" s="328"/>
      <c r="D45" s="188"/>
      <c r="E45" s="30"/>
      <c r="F45" s="31" t="s">
        <v>66</v>
      </c>
      <c r="G45" s="191"/>
      <c r="H45" s="35">
        <v>12</v>
      </c>
      <c r="I45" s="35"/>
      <c r="J45" s="35"/>
      <c r="K45" s="35"/>
      <c r="L45" s="35"/>
      <c r="M45" s="35"/>
      <c r="N45" s="35"/>
      <c r="O45" s="279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31.5" customHeight="1" thickBot="1" x14ac:dyDescent="0.3">
      <c r="A46" s="200"/>
      <c r="B46" s="326"/>
      <c r="C46" s="328"/>
      <c r="D46" s="189"/>
      <c r="E46" s="32"/>
      <c r="F46" s="33" t="s">
        <v>67</v>
      </c>
      <c r="G46" s="192"/>
      <c r="H46" s="36">
        <v>12</v>
      </c>
      <c r="I46" s="36"/>
      <c r="J46" s="36"/>
      <c r="K46" s="36"/>
      <c r="L46" s="36"/>
      <c r="M46" s="36"/>
      <c r="N46" s="36"/>
      <c r="O46" s="280"/>
      <c r="P46" s="9">
        <f t="shared" si="4"/>
        <v>12</v>
      </c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171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ht="20.25" customHeight="1" thickBot="1" x14ac:dyDescent="0.3">
      <c r="A47" s="200"/>
      <c r="B47" s="326"/>
      <c r="C47" s="328"/>
      <c r="D47" s="238"/>
      <c r="E47" s="239"/>
      <c r="F47" s="239"/>
      <c r="G47" s="240"/>
      <c r="H47" s="98">
        <f>SUM(H43:H46)</f>
        <v>48</v>
      </c>
      <c r="I47" s="98">
        <f t="shared" ref="I47" si="42">SUM(I43:I46)</f>
        <v>0</v>
      </c>
      <c r="J47" s="98">
        <f t="shared" ref="J47" si="43">SUM(J43:J46)</f>
        <v>0</v>
      </c>
      <c r="K47" s="98">
        <f t="shared" ref="K47" si="44">SUM(K43:K46)</f>
        <v>0</v>
      </c>
      <c r="L47" s="98">
        <f t="shared" ref="L47" si="45">SUM(L43:L46)</f>
        <v>0</v>
      </c>
      <c r="M47" s="98">
        <f t="shared" ref="M47" si="46">SUM(M43:M46)</f>
        <v>0</v>
      </c>
      <c r="N47" s="98">
        <f t="shared" ref="N47" si="47">SUM(N43:N46)</f>
        <v>0</v>
      </c>
      <c r="O47" s="59"/>
      <c r="P47" s="9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181"/>
      <c r="AD47" s="120"/>
      <c r="AE47" s="120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</row>
    <row r="48" spans="1:45" ht="34.5" customHeight="1" x14ac:dyDescent="0.25">
      <c r="A48" s="200"/>
      <c r="B48" s="326"/>
      <c r="C48" s="328"/>
      <c r="D48" s="244" t="s">
        <v>46</v>
      </c>
      <c r="E48" s="99"/>
      <c r="F48" s="100" t="s">
        <v>70</v>
      </c>
      <c r="G48" s="235">
        <v>48</v>
      </c>
      <c r="H48" s="107"/>
      <c r="I48" s="107">
        <v>12</v>
      </c>
      <c r="J48" s="107"/>
      <c r="K48" s="107"/>
      <c r="L48" s="107"/>
      <c r="M48" s="107"/>
      <c r="N48" s="107"/>
      <c r="O48" s="264">
        <f t="shared" ref="O48" si="48">SUM(P48:P51)</f>
        <v>48</v>
      </c>
      <c r="P48" s="9">
        <f t="shared" si="4"/>
        <v>12</v>
      </c>
      <c r="Q48" s="1"/>
      <c r="R48" s="2">
        <f>O48-Q48</f>
        <v>48</v>
      </c>
      <c r="S48" s="167">
        <f>R48/O48</f>
        <v>1</v>
      </c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  <c r="AG48" s="184">
        <f>O48-AF48</f>
        <v>48</v>
      </c>
      <c r="AH48" s="185">
        <f>AG48/O48</f>
        <v>1</v>
      </c>
      <c r="AI48" t="s">
        <v>121</v>
      </c>
    </row>
    <row r="49" spans="1:45" ht="26.25" customHeight="1" x14ac:dyDescent="0.25">
      <c r="A49" s="200"/>
      <c r="B49" s="326"/>
      <c r="C49" s="328"/>
      <c r="D49" s="245"/>
      <c r="E49" s="101"/>
      <c r="F49" s="102" t="s">
        <v>68</v>
      </c>
      <c r="G49" s="236"/>
      <c r="H49" s="108"/>
      <c r="I49" s="108">
        <v>12</v>
      </c>
      <c r="J49" s="108"/>
      <c r="K49" s="108"/>
      <c r="L49" s="108"/>
      <c r="M49" s="108"/>
      <c r="N49" s="108"/>
      <c r="O49" s="265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</row>
    <row r="50" spans="1:45" ht="22.5" customHeight="1" x14ac:dyDescent="0.25">
      <c r="A50" s="200"/>
      <c r="B50" s="326"/>
      <c r="C50" s="328"/>
      <c r="D50" s="245"/>
      <c r="E50" s="101"/>
      <c r="F50" s="102" t="s">
        <v>69</v>
      </c>
      <c r="G50" s="236"/>
      <c r="H50" s="108"/>
      <c r="I50" s="108">
        <v>12</v>
      </c>
      <c r="J50" s="108"/>
      <c r="K50" s="108"/>
      <c r="L50" s="108"/>
      <c r="M50" s="108"/>
      <c r="N50" s="108"/>
      <c r="O50" s="265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</row>
    <row r="51" spans="1:45" ht="30.75" customHeight="1" thickBot="1" x14ac:dyDescent="0.3">
      <c r="A51" s="200"/>
      <c r="B51" s="326"/>
      <c r="C51" s="328"/>
      <c r="D51" s="246"/>
      <c r="E51" s="103"/>
      <c r="F51" s="104" t="s">
        <v>71</v>
      </c>
      <c r="G51" s="237"/>
      <c r="H51" s="109"/>
      <c r="I51" s="109">
        <v>12</v>
      </c>
      <c r="J51" s="109"/>
      <c r="K51" s="109"/>
      <c r="L51" s="109"/>
      <c r="M51" s="109"/>
      <c r="N51" s="109"/>
      <c r="O51" s="266"/>
      <c r="P51" s="9">
        <f t="shared" si="4"/>
        <v>12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78"/>
      <c r="AC51" s="179"/>
      <c r="AD51" s="179"/>
      <c r="AE51" s="179"/>
    </row>
    <row r="52" spans="1:45" ht="20.25" customHeight="1" thickBot="1" x14ac:dyDescent="0.3">
      <c r="A52" s="200"/>
      <c r="B52" s="326"/>
      <c r="C52" s="328"/>
      <c r="D52" s="241"/>
      <c r="E52" s="242"/>
      <c r="F52" s="242"/>
      <c r="G52" s="243"/>
      <c r="H52" s="106">
        <f>SUM(H48:H51)</f>
        <v>0</v>
      </c>
      <c r="I52" s="106">
        <f t="shared" ref="I52" si="49">SUM(I48:I51)</f>
        <v>48</v>
      </c>
      <c r="J52" s="106">
        <f t="shared" ref="J52" si="50">SUM(J48:J51)</f>
        <v>0</v>
      </c>
      <c r="K52" s="106">
        <f t="shared" ref="K52" si="51">SUM(K48:K51)</f>
        <v>0</v>
      </c>
      <c r="L52" s="106">
        <f t="shared" ref="L52" si="52">SUM(L48:L51)</f>
        <v>0</v>
      </c>
      <c r="M52" s="106">
        <f t="shared" ref="M52" si="53">SUM(M48:M51)</f>
        <v>0</v>
      </c>
      <c r="N52" s="106">
        <f t="shared" ref="N52" si="54">SUM(N48:N51)</f>
        <v>0</v>
      </c>
      <c r="O52" s="105"/>
      <c r="P52" s="9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182"/>
      <c r="AD52" s="168"/>
      <c r="AE52" s="168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</row>
    <row r="53" spans="1:45" ht="31.5" customHeight="1" x14ac:dyDescent="0.25">
      <c r="A53" s="200"/>
      <c r="B53" s="326"/>
      <c r="C53" s="328"/>
      <c r="D53" s="208" t="s">
        <v>47</v>
      </c>
      <c r="E53" s="47"/>
      <c r="F53" s="48" t="s">
        <v>72</v>
      </c>
      <c r="G53" s="211">
        <v>48</v>
      </c>
      <c r="H53" s="53"/>
      <c r="I53" s="53"/>
      <c r="J53" s="53"/>
      <c r="K53" s="53"/>
      <c r="L53" s="53"/>
      <c r="M53" s="53"/>
      <c r="N53" s="53">
        <v>12</v>
      </c>
      <c r="O53" s="267">
        <f t="shared" ref="O53" si="55">SUM(P53:P56)</f>
        <v>48</v>
      </c>
      <c r="P53" s="9">
        <f t="shared" si="4"/>
        <v>12</v>
      </c>
      <c r="Q53" s="3"/>
      <c r="R53" s="2">
        <f>O53-Q53</f>
        <v>48</v>
      </c>
      <c r="S53" s="167">
        <f>R53/O53</f>
        <v>1</v>
      </c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184">
        <f>O53-AF53</f>
        <v>48</v>
      </c>
      <c r="AH53" s="185">
        <f>AG53/O53</f>
        <v>1</v>
      </c>
      <c r="AI53" s="3" t="s">
        <v>115</v>
      </c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31.5" customHeight="1" x14ac:dyDescent="0.25">
      <c r="A54" s="200"/>
      <c r="B54" s="326"/>
      <c r="C54" s="328"/>
      <c r="D54" s="209"/>
      <c r="E54" s="49"/>
      <c r="F54" s="50" t="s">
        <v>73</v>
      </c>
      <c r="G54" s="212"/>
      <c r="H54" s="54"/>
      <c r="I54" s="54"/>
      <c r="J54" s="54"/>
      <c r="K54" s="54"/>
      <c r="L54" s="54"/>
      <c r="M54" s="54"/>
      <c r="N54" s="54">
        <v>12</v>
      </c>
      <c r="O54" s="268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x14ac:dyDescent="0.25">
      <c r="A55" s="200"/>
      <c r="B55" s="326"/>
      <c r="C55" s="328"/>
      <c r="D55" s="209"/>
      <c r="E55" s="49"/>
      <c r="F55" s="50" t="s">
        <v>74</v>
      </c>
      <c r="G55" s="212"/>
      <c r="H55" s="54"/>
      <c r="I55" s="54"/>
      <c r="J55" s="54"/>
      <c r="K55" s="54"/>
      <c r="L55" s="54"/>
      <c r="M55" s="54"/>
      <c r="N55" s="54">
        <v>12</v>
      </c>
      <c r="O55" s="268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31.5" customHeight="1" thickBot="1" x14ac:dyDescent="0.3">
      <c r="A56" s="200"/>
      <c r="B56" s="326"/>
      <c r="C56" s="328"/>
      <c r="D56" s="210"/>
      <c r="E56" s="51"/>
      <c r="F56" s="52" t="s">
        <v>75</v>
      </c>
      <c r="G56" s="213"/>
      <c r="H56" s="55"/>
      <c r="I56" s="55"/>
      <c r="J56" s="55"/>
      <c r="K56" s="55"/>
      <c r="L56" s="55"/>
      <c r="M56" s="55"/>
      <c r="N56" s="55">
        <v>12</v>
      </c>
      <c r="O56" s="269"/>
      <c r="P56" s="9">
        <f t="shared" si="4"/>
        <v>12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171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ht="20.25" customHeight="1" thickBot="1" x14ac:dyDescent="0.3">
      <c r="A57" s="200"/>
      <c r="B57" s="326"/>
      <c r="C57" s="328"/>
      <c r="D57" s="247"/>
      <c r="E57" s="248"/>
      <c r="F57" s="248"/>
      <c r="G57" s="249"/>
      <c r="H57" s="64">
        <f>SUM(H53:H56)</f>
        <v>0</v>
      </c>
      <c r="I57" s="64">
        <f t="shared" ref="I57" si="56">SUM(I53:I56)</f>
        <v>0</v>
      </c>
      <c r="J57" s="64">
        <f t="shared" ref="J57" si="57">SUM(J53:J56)</f>
        <v>0</v>
      </c>
      <c r="K57" s="64">
        <f t="shared" ref="K57" si="58">SUM(K53:K56)</f>
        <v>0</v>
      </c>
      <c r="L57" s="64">
        <f t="shared" ref="L57" si="59">SUM(L53:L56)</f>
        <v>0</v>
      </c>
      <c r="M57" s="64">
        <f t="shared" ref="M57" si="60">SUM(M53:M56)</f>
        <v>0</v>
      </c>
      <c r="N57" s="64">
        <f t="shared" ref="N57" si="61">SUM(N53:N56)</f>
        <v>48</v>
      </c>
      <c r="O57" s="63"/>
      <c r="P57" s="9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180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</row>
    <row r="58" spans="1:45" ht="32.25" customHeight="1" x14ac:dyDescent="0.25">
      <c r="A58" s="200"/>
      <c r="B58" s="326"/>
      <c r="C58" s="328"/>
      <c r="D58" s="256" t="s">
        <v>48</v>
      </c>
      <c r="E58" s="149">
        <v>3</v>
      </c>
      <c r="F58" s="110" t="s">
        <v>78</v>
      </c>
      <c r="G58" s="258">
        <v>96</v>
      </c>
      <c r="H58" s="114"/>
      <c r="I58" s="114"/>
      <c r="J58" s="114">
        <v>16</v>
      </c>
      <c r="K58" s="114"/>
      <c r="L58" s="114"/>
      <c r="M58" s="114"/>
      <c r="N58" s="114"/>
      <c r="O58" s="270">
        <f t="shared" ref="O58" si="62">SUM(P58:P61)</f>
        <v>96</v>
      </c>
      <c r="P58" s="9">
        <f t="shared" si="4"/>
        <v>16</v>
      </c>
      <c r="Q58" s="1">
        <v>175</v>
      </c>
      <c r="R58" s="2">
        <f>O58-Q58</f>
        <v>-79</v>
      </c>
      <c r="S58" s="167">
        <f>R58/O58</f>
        <v>-0.82291666666666663</v>
      </c>
      <c r="T58" s="171">
        <v>176</v>
      </c>
      <c r="U58" s="3"/>
      <c r="V58" s="3"/>
      <c r="W58" s="2"/>
      <c r="X58" s="2">
        <v>192</v>
      </c>
      <c r="Y58" s="167">
        <f>X58/O58</f>
        <v>2</v>
      </c>
      <c r="Z58" s="2">
        <v>132</v>
      </c>
      <c r="AA58" s="2">
        <f>O58-Z58</f>
        <v>-36</v>
      </c>
      <c r="AB58" s="167">
        <f>AA58/O58</f>
        <v>-0.375</v>
      </c>
      <c r="AC58" s="181">
        <v>66</v>
      </c>
      <c r="AD58" s="120">
        <f>O58-AC58</f>
        <v>30</v>
      </c>
      <c r="AE58" s="175">
        <f>AD58/O58</f>
        <v>0.3125</v>
      </c>
      <c r="AF58" s="176"/>
      <c r="AG58" s="184">
        <f>O58-AF58</f>
        <v>96</v>
      </c>
      <c r="AH58" s="185">
        <f>AG58/O58</f>
        <v>1</v>
      </c>
      <c r="AI58" s="3" t="s">
        <v>118</v>
      </c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ht="30.75" customHeight="1" x14ac:dyDescent="0.25">
      <c r="A59" s="200"/>
      <c r="B59" s="326"/>
      <c r="C59" s="328"/>
      <c r="D59" s="257"/>
      <c r="E59" s="145">
        <v>2</v>
      </c>
      <c r="F59" s="111" t="s">
        <v>77</v>
      </c>
      <c r="G59" s="259"/>
      <c r="H59" s="115"/>
      <c r="I59" s="115"/>
      <c r="J59" s="115">
        <v>24</v>
      </c>
      <c r="K59" s="115"/>
      <c r="L59" s="115"/>
      <c r="M59" s="115"/>
      <c r="N59" s="115"/>
      <c r="O59" s="271"/>
      <c r="P59" s="9">
        <f t="shared" si="4"/>
        <v>24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18.75" customHeight="1" x14ac:dyDescent="0.25">
      <c r="A60" s="200"/>
      <c r="B60" s="326"/>
      <c r="C60" s="328"/>
      <c r="D60" s="257"/>
      <c r="E60" s="145">
        <v>4</v>
      </c>
      <c r="F60" s="111" t="s">
        <v>76</v>
      </c>
      <c r="G60" s="259"/>
      <c r="H60" s="115"/>
      <c r="I60" s="115"/>
      <c r="J60" s="115">
        <v>20</v>
      </c>
      <c r="K60" s="115"/>
      <c r="L60" s="115"/>
      <c r="M60" s="115"/>
      <c r="N60" s="115"/>
      <c r="O60" s="271"/>
      <c r="P60" s="9">
        <f t="shared" si="4"/>
        <v>20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37.5" customHeight="1" x14ac:dyDescent="0.25">
      <c r="A61" s="200"/>
      <c r="B61" s="326"/>
      <c r="C61" s="328"/>
      <c r="D61" s="257"/>
      <c r="E61" s="145">
        <v>1</v>
      </c>
      <c r="F61" s="111" t="s">
        <v>79</v>
      </c>
      <c r="G61" s="259"/>
      <c r="H61" s="115"/>
      <c r="I61" s="115"/>
      <c r="J61" s="115">
        <v>36</v>
      </c>
      <c r="K61" s="115"/>
      <c r="L61" s="115"/>
      <c r="M61" s="115"/>
      <c r="N61" s="115"/>
      <c r="O61" s="271"/>
      <c r="P61" s="9">
        <f t="shared" si="4"/>
        <v>36</v>
      </c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174"/>
      <c r="AC61" s="183"/>
      <c r="AD61" s="177"/>
      <c r="AE61" s="177"/>
      <c r="AF61" s="17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 spans="1:45" ht="20.25" customHeight="1" thickBot="1" x14ac:dyDescent="0.3">
      <c r="A62" s="200"/>
      <c r="B62" s="326"/>
      <c r="C62" s="328"/>
      <c r="D62" s="260"/>
      <c r="E62" s="261"/>
      <c r="F62" s="261"/>
      <c r="G62" s="261"/>
      <c r="H62" s="150">
        <f>SUM(H58:H61)</f>
        <v>0</v>
      </c>
      <c r="I62" s="150">
        <f t="shared" ref="I62" si="63">SUM(I58:I61)</f>
        <v>0</v>
      </c>
      <c r="J62" s="150">
        <f t="shared" ref="J62" si="64">SUM(J58:J61)</f>
        <v>96</v>
      </c>
      <c r="K62" s="150">
        <f t="shared" ref="K62" si="65">SUM(K58:K61)</f>
        <v>0</v>
      </c>
      <c r="L62" s="150">
        <f t="shared" ref="L62" si="66">SUM(L58:L61)</f>
        <v>0</v>
      </c>
      <c r="M62" s="150">
        <f t="shared" ref="M62" si="67">SUM(M58:M61)</f>
        <v>0</v>
      </c>
      <c r="N62" s="150">
        <f t="shared" ref="N62" si="68">SUM(N58:N61)</f>
        <v>0</v>
      </c>
      <c r="O62" s="151"/>
      <c r="P62" s="9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182"/>
      <c r="AD62" s="168"/>
      <c r="AE62" s="168"/>
      <c r="AF62" s="168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</row>
    <row r="63" spans="1:45" ht="39.75" customHeight="1" x14ac:dyDescent="0.25">
      <c r="A63" s="200"/>
      <c r="B63" s="326"/>
      <c r="C63" s="328"/>
      <c r="D63" s="252" t="s">
        <v>15</v>
      </c>
      <c r="E63" s="142">
        <v>4</v>
      </c>
      <c r="F63" s="131" t="s">
        <v>80</v>
      </c>
      <c r="G63" s="253">
        <v>288</v>
      </c>
      <c r="H63" s="132"/>
      <c r="I63" s="132"/>
      <c r="J63" s="132"/>
      <c r="K63" s="132"/>
      <c r="L63" s="132"/>
      <c r="M63" s="132">
        <v>72</v>
      </c>
      <c r="N63" s="132"/>
      <c r="O63" s="351">
        <f t="shared" ref="O63" si="69">SUM(P63:P66)</f>
        <v>288</v>
      </c>
      <c r="P63" s="9">
        <f t="shared" si="4"/>
        <v>72</v>
      </c>
      <c r="Q63" s="1">
        <v>228</v>
      </c>
      <c r="R63" s="2">
        <f>O63-Q63</f>
        <v>60</v>
      </c>
      <c r="S63" s="167">
        <f>R63/O63</f>
        <v>0.20833333333333334</v>
      </c>
      <c r="T63" s="171">
        <v>228</v>
      </c>
      <c r="U63" s="3"/>
      <c r="V63" s="3"/>
      <c r="W63" s="2"/>
      <c r="X63" s="2">
        <v>132</v>
      </c>
      <c r="Y63" s="167">
        <f>X63/O63</f>
        <v>0.45833333333333331</v>
      </c>
      <c r="Z63" s="2"/>
      <c r="AA63" s="2">
        <f>O63-Z63</f>
        <v>288</v>
      </c>
      <c r="AB63" s="167">
        <f>AA63/O63</f>
        <v>1</v>
      </c>
      <c r="AC63" s="180">
        <v>88</v>
      </c>
      <c r="AD63" s="2">
        <f>O63-AC63</f>
        <v>200</v>
      </c>
      <c r="AE63" s="167">
        <f>AD63/O63</f>
        <v>0.69444444444444442</v>
      </c>
      <c r="AF63" s="3"/>
      <c r="AG63" s="184">
        <f>O63-AF63</f>
        <v>288</v>
      </c>
      <c r="AH63" s="185">
        <f>AG63/O63</f>
        <v>1</v>
      </c>
      <c r="AI63" s="3" t="s">
        <v>113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0.75" customHeight="1" x14ac:dyDescent="0.25">
      <c r="A64" s="200"/>
      <c r="B64" s="326"/>
      <c r="C64" s="328"/>
      <c r="D64" s="188"/>
      <c r="E64" s="116">
        <v>1</v>
      </c>
      <c r="F64" s="31" t="s">
        <v>81</v>
      </c>
      <c r="G64" s="191"/>
      <c r="H64" s="35"/>
      <c r="I64" s="35"/>
      <c r="J64" s="35"/>
      <c r="K64" s="35">
        <v>24</v>
      </c>
      <c r="L64" s="35"/>
      <c r="M64" s="35"/>
      <c r="N64" s="35"/>
      <c r="O64" s="352"/>
      <c r="P64" s="9">
        <f t="shared" si="4"/>
        <v>24</v>
      </c>
      <c r="Q64" s="3"/>
      <c r="R64" s="3"/>
      <c r="S64" s="3"/>
      <c r="T64" s="1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9" customHeight="1" x14ac:dyDescent="0.25">
      <c r="A65" s="200"/>
      <c r="B65" s="326"/>
      <c r="C65" s="328"/>
      <c r="D65" s="188"/>
      <c r="E65" s="116">
        <v>2</v>
      </c>
      <c r="F65" s="31" t="s">
        <v>82</v>
      </c>
      <c r="G65" s="191"/>
      <c r="H65" s="35"/>
      <c r="I65" s="35"/>
      <c r="J65" s="35"/>
      <c r="K65" s="35">
        <v>24</v>
      </c>
      <c r="L65" s="35"/>
      <c r="M65" s="35"/>
      <c r="N65" s="35"/>
      <c r="O65" s="352"/>
      <c r="P65" s="9">
        <f t="shared" si="4"/>
        <v>24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30" customHeight="1" x14ac:dyDescent="0.25">
      <c r="A66" s="200"/>
      <c r="B66" s="326"/>
      <c r="C66" s="328"/>
      <c r="D66" s="188"/>
      <c r="E66" s="116">
        <v>3</v>
      </c>
      <c r="F66" s="31" t="s">
        <v>83</v>
      </c>
      <c r="G66" s="191"/>
      <c r="H66" s="35"/>
      <c r="I66" s="35"/>
      <c r="J66" s="35"/>
      <c r="K66" s="35">
        <v>96</v>
      </c>
      <c r="L66" s="35">
        <v>72</v>
      </c>
      <c r="M66" s="35"/>
      <c r="N66" s="35"/>
      <c r="O66" s="352"/>
      <c r="P66" s="9">
        <f t="shared" si="4"/>
        <v>168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171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ht="20.25" customHeight="1" thickBot="1" x14ac:dyDescent="0.3">
      <c r="A67" s="200"/>
      <c r="B67" s="326"/>
      <c r="C67" s="328"/>
      <c r="D67" s="262"/>
      <c r="E67" s="263"/>
      <c r="F67" s="263"/>
      <c r="G67" s="263"/>
      <c r="H67" s="152">
        <f>SUM(H63:H66)</f>
        <v>0</v>
      </c>
      <c r="I67" s="152">
        <f t="shared" ref="I67" si="70">SUM(I63:I66)</f>
        <v>0</v>
      </c>
      <c r="J67" s="152">
        <f t="shared" ref="J67" si="71">SUM(J63:J66)</f>
        <v>0</v>
      </c>
      <c r="K67" s="152">
        <f t="shared" ref="K67" si="72">SUM(K63:K66)</f>
        <v>144</v>
      </c>
      <c r="L67" s="152">
        <f t="shared" ref="L67" si="73">SUM(L63:L66)</f>
        <v>72</v>
      </c>
      <c r="M67" s="152">
        <f t="shared" ref="M67" si="74">SUM(M63:M66)</f>
        <v>72</v>
      </c>
      <c r="N67" s="152">
        <f t="shared" ref="N67" si="75">SUM(N63:N66)</f>
        <v>0</v>
      </c>
      <c r="O67" s="153"/>
      <c r="P67" s="9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180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</row>
    <row r="68" spans="1:45" ht="41.25" customHeight="1" x14ac:dyDescent="0.25">
      <c r="A68" s="200"/>
      <c r="B68" s="326"/>
      <c r="C68" s="328"/>
      <c r="D68" s="250" t="s">
        <v>49</v>
      </c>
      <c r="E68" s="134"/>
      <c r="F68" s="127" t="s">
        <v>84</v>
      </c>
      <c r="G68" s="254">
        <v>384</v>
      </c>
      <c r="H68" s="128">
        <v>72</v>
      </c>
      <c r="I68" s="128"/>
      <c r="J68" s="128"/>
      <c r="K68" s="128"/>
      <c r="L68" s="128"/>
      <c r="M68" s="128"/>
      <c r="N68" s="128"/>
      <c r="O68" s="353">
        <f>SUM(P68:P73)</f>
        <v>384</v>
      </c>
      <c r="P68" s="9">
        <f t="shared" si="4"/>
        <v>72</v>
      </c>
      <c r="Q68" s="3"/>
      <c r="R68" s="2">
        <f>O68-Q68</f>
        <v>384</v>
      </c>
      <c r="S68" s="167">
        <f>R68/O68</f>
        <v>1</v>
      </c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184">
        <f>O68-AF68</f>
        <v>384</v>
      </c>
      <c r="AH68" s="185">
        <f>AG68/O68</f>
        <v>1</v>
      </c>
      <c r="AI68" s="3" t="s">
        <v>122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6.75" customHeight="1" x14ac:dyDescent="0.25">
      <c r="A69" s="200"/>
      <c r="B69" s="326"/>
      <c r="C69" s="328"/>
      <c r="D69" s="251"/>
      <c r="E69" s="133"/>
      <c r="F69" s="129" t="s">
        <v>85</v>
      </c>
      <c r="G69" s="255"/>
      <c r="H69" s="130"/>
      <c r="I69" s="130">
        <v>72</v>
      </c>
      <c r="J69" s="130"/>
      <c r="K69" s="130"/>
      <c r="L69" s="130"/>
      <c r="M69" s="130"/>
      <c r="N69" s="130"/>
      <c r="O69" s="354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2.25" customHeight="1" x14ac:dyDescent="0.25">
      <c r="A70" s="200"/>
      <c r="B70" s="326"/>
      <c r="C70" s="328"/>
      <c r="D70" s="251"/>
      <c r="E70" s="133"/>
      <c r="F70" s="129" t="s">
        <v>86</v>
      </c>
      <c r="G70" s="255"/>
      <c r="H70" s="130"/>
      <c r="I70" s="130"/>
      <c r="J70" s="130">
        <v>72</v>
      </c>
      <c r="K70" s="130"/>
      <c r="L70" s="130"/>
      <c r="M70" s="130"/>
      <c r="N70" s="130"/>
      <c r="O70" s="354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0" customHeight="1" x14ac:dyDescent="0.25">
      <c r="A71" s="200"/>
      <c r="B71" s="326"/>
      <c r="C71" s="328"/>
      <c r="D71" s="251"/>
      <c r="E71" s="133"/>
      <c r="F71" s="129" t="s">
        <v>87</v>
      </c>
      <c r="G71" s="255"/>
      <c r="H71" s="130"/>
      <c r="I71" s="130"/>
      <c r="J71" s="130"/>
      <c r="K71" s="130">
        <v>72</v>
      </c>
      <c r="L71" s="130"/>
      <c r="M71" s="130"/>
      <c r="N71" s="130"/>
      <c r="O71" s="354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31.5" customHeight="1" x14ac:dyDescent="0.25">
      <c r="A72" s="200"/>
      <c r="B72" s="326"/>
      <c r="C72" s="328"/>
      <c r="D72" s="251"/>
      <c r="E72" s="133"/>
      <c r="F72" s="129" t="s">
        <v>88</v>
      </c>
      <c r="G72" s="255"/>
      <c r="H72" s="130"/>
      <c r="I72" s="130"/>
      <c r="J72" s="130"/>
      <c r="K72" s="130"/>
      <c r="L72" s="130">
        <v>72</v>
      </c>
      <c r="M72" s="130"/>
      <c r="N72" s="130"/>
      <c r="O72" s="354"/>
      <c r="P72" s="9">
        <f t="shared" si="4"/>
        <v>72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40.5" customHeight="1" x14ac:dyDescent="0.25">
      <c r="A73" s="200"/>
      <c r="B73" s="326"/>
      <c r="C73" s="328"/>
      <c r="D73" s="251"/>
      <c r="E73" s="133"/>
      <c r="F73" s="129" t="s">
        <v>89</v>
      </c>
      <c r="G73" s="255"/>
      <c r="H73" s="130"/>
      <c r="I73" s="130"/>
      <c r="J73" s="130"/>
      <c r="K73" s="130"/>
      <c r="L73" s="130"/>
      <c r="M73" s="26">
        <v>24</v>
      </c>
      <c r="N73" s="130"/>
      <c r="O73" s="354"/>
      <c r="P73" s="9">
        <f t="shared" si="4"/>
        <v>24</v>
      </c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171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ht="20.25" customHeight="1" thickBot="1" x14ac:dyDescent="0.3">
      <c r="A74" s="200"/>
      <c r="B74" s="326"/>
      <c r="C74" s="328"/>
      <c r="D74" s="303"/>
      <c r="E74" s="304"/>
      <c r="F74" s="304"/>
      <c r="G74" s="304"/>
      <c r="H74" s="135">
        <f>SUM(H68:H73)</f>
        <v>72</v>
      </c>
      <c r="I74" s="135">
        <f>SUM(I68:I73)</f>
        <v>72</v>
      </c>
      <c r="J74" s="135">
        <f t="shared" ref="J74" si="76">SUM(J70:J73)</f>
        <v>72</v>
      </c>
      <c r="K74" s="135">
        <f t="shared" ref="K74" si="77">SUM(K70:K73)</f>
        <v>72</v>
      </c>
      <c r="L74" s="135">
        <f t="shared" ref="L74" si="78">SUM(L70:L73)</f>
        <v>72</v>
      </c>
      <c r="M74" s="135">
        <f t="shared" ref="M74" si="79">SUM(M70:M73)</f>
        <v>24</v>
      </c>
      <c r="N74" s="135">
        <f t="shared" ref="N74" si="80">SUM(N70:N73)</f>
        <v>0</v>
      </c>
      <c r="O74" s="136"/>
      <c r="P74" s="9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180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</row>
    <row r="75" spans="1:45" ht="20.25" customHeight="1" x14ac:dyDescent="0.25">
      <c r="A75" s="200"/>
      <c r="B75" s="326"/>
      <c r="C75" s="328"/>
      <c r="D75" s="323" t="s">
        <v>16</v>
      </c>
      <c r="E75" s="146"/>
      <c r="F75" s="147" t="s">
        <v>90</v>
      </c>
      <c r="G75" s="313">
        <v>48</v>
      </c>
      <c r="H75" s="148"/>
      <c r="I75" s="148"/>
      <c r="J75" s="148"/>
      <c r="K75" s="148"/>
      <c r="L75" s="148"/>
      <c r="M75" s="148"/>
      <c r="N75" s="148">
        <v>12</v>
      </c>
      <c r="O75" s="345">
        <f>SUM(P75:P78)</f>
        <v>48</v>
      </c>
      <c r="P75" s="9">
        <f>SUM(H75:N75)</f>
        <v>12</v>
      </c>
      <c r="Q75" s="3"/>
      <c r="R75" s="2">
        <f>O75-Q75</f>
        <v>48</v>
      </c>
      <c r="S75" s="167">
        <f>R75/O75</f>
        <v>1</v>
      </c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184">
        <f>O75-AF75</f>
        <v>48</v>
      </c>
      <c r="AH75" s="185">
        <f>AG75/O75</f>
        <v>1</v>
      </c>
      <c r="AI75" s="3" t="s">
        <v>116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22.5" customHeight="1" x14ac:dyDescent="0.25">
      <c r="A76" s="200"/>
      <c r="B76" s="326"/>
      <c r="C76" s="328"/>
      <c r="D76" s="257"/>
      <c r="E76" s="145"/>
      <c r="F76" s="143" t="s">
        <v>91</v>
      </c>
      <c r="G76" s="313"/>
      <c r="H76" s="117"/>
      <c r="I76" s="117"/>
      <c r="J76" s="117"/>
      <c r="K76" s="117"/>
      <c r="L76" s="117"/>
      <c r="M76" s="117"/>
      <c r="N76" s="117">
        <v>12</v>
      </c>
      <c r="O76" s="345"/>
      <c r="P76" s="9">
        <f t="shared" ref="P76:P78" si="81">SUM(H76:N76)</f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22.5" customHeight="1" x14ac:dyDescent="0.25">
      <c r="A77" s="200"/>
      <c r="B77" s="326"/>
      <c r="C77" s="328"/>
      <c r="D77" s="257"/>
      <c r="E77" s="145"/>
      <c r="F77" s="143" t="s">
        <v>92</v>
      </c>
      <c r="G77" s="313"/>
      <c r="H77" s="117"/>
      <c r="I77" s="117"/>
      <c r="J77" s="117"/>
      <c r="K77" s="117"/>
      <c r="L77" s="117"/>
      <c r="M77" s="117"/>
      <c r="N77" s="117">
        <v>12</v>
      </c>
      <c r="O77" s="345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1" customHeight="1" thickBot="1" x14ac:dyDescent="0.3">
      <c r="A78" s="200"/>
      <c r="B78" s="326"/>
      <c r="C78" s="328"/>
      <c r="D78" s="260"/>
      <c r="E78" s="145"/>
      <c r="F78" s="144" t="s">
        <v>93</v>
      </c>
      <c r="G78" s="314"/>
      <c r="H78" s="118"/>
      <c r="I78" s="118"/>
      <c r="J78" s="118"/>
      <c r="K78" s="118"/>
      <c r="L78" s="118"/>
      <c r="M78" s="118"/>
      <c r="N78" s="118">
        <v>12</v>
      </c>
      <c r="O78" s="346"/>
      <c r="P78" s="9">
        <f t="shared" si="81"/>
        <v>12</v>
      </c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171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ht="20.25" customHeight="1" thickBot="1" x14ac:dyDescent="0.3">
      <c r="A79" s="200"/>
      <c r="B79" s="326"/>
      <c r="C79" s="328"/>
      <c r="D79" s="305"/>
      <c r="E79" s="306"/>
      <c r="F79" s="307"/>
      <c r="G79" s="308"/>
      <c r="H79" s="112">
        <f>SUM(H75:H78)</f>
        <v>0</v>
      </c>
      <c r="I79" s="112">
        <f t="shared" ref="I79:N79" si="82">SUM(I75:I78)</f>
        <v>0</v>
      </c>
      <c r="J79" s="112">
        <f t="shared" si="82"/>
        <v>0</v>
      </c>
      <c r="K79" s="112">
        <f t="shared" si="82"/>
        <v>0</v>
      </c>
      <c r="L79" s="112">
        <f t="shared" si="82"/>
        <v>0</v>
      </c>
      <c r="M79" s="112">
        <f t="shared" si="82"/>
        <v>0</v>
      </c>
      <c r="N79" s="112">
        <f t="shared" si="82"/>
        <v>48</v>
      </c>
      <c r="O79" s="113"/>
      <c r="P79" s="9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180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</row>
    <row r="80" spans="1:45" ht="30" customHeight="1" x14ac:dyDescent="0.25">
      <c r="A80" s="200"/>
      <c r="B80" s="326"/>
      <c r="C80" s="328"/>
      <c r="D80" s="321" t="s">
        <v>50</v>
      </c>
      <c r="E80" s="157"/>
      <c r="F80" s="158" t="s">
        <v>94</v>
      </c>
      <c r="G80" s="315">
        <v>48</v>
      </c>
      <c r="H80" s="159">
        <v>12</v>
      </c>
      <c r="I80" s="159"/>
      <c r="J80" s="159"/>
      <c r="K80" s="159"/>
      <c r="L80" s="159"/>
      <c r="M80" s="159"/>
      <c r="N80" s="159"/>
      <c r="O80" s="349">
        <f>SUM(P80:P83)</f>
        <v>48</v>
      </c>
      <c r="P80" s="9">
        <f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184">
        <f>O80-AF80</f>
        <v>48</v>
      </c>
      <c r="AH80" s="185">
        <f>AG80/O80</f>
        <v>1</v>
      </c>
      <c r="AI80" s="3" t="s">
        <v>123</v>
      </c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30.75" customHeight="1" x14ac:dyDescent="0.25">
      <c r="A81" s="200"/>
      <c r="B81" s="326"/>
      <c r="C81" s="328"/>
      <c r="D81" s="322"/>
      <c r="E81" s="154"/>
      <c r="F81" s="155" t="s">
        <v>95</v>
      </c>
      <c r="G81" s="316"/>
      <c r="H81" s="156">
        <v>12</v>
      </c>
      <c r="I81" s="156"/>
      <c r="J81" s="156"/>
      <c r="K81" s="156"/>
      <c r="L81" s="156"/>
      <c r="M81" s="156"/>
      <c r="N81" s="156"/>
      <c r="O81" s="350"/>
      <c r="P81" s="9">
        <f t="shared" ref="P81:P83" si="83">SUM(H81:N81)</f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8.5" customHeight="1" x14ac:dyDescent="0.25">
      <c r="A82" s="200"/>
      <c r="B82" s="326"/>
      <c r="C82" s="328"/>
      <c r="D82" s="322"/>
      <c r="E82" s="154"/>
      <c r="F82" s="155" t="s">
        <v>96</v>
      </c>
      <c r="G82" s="316"/>
      <c r="H82" s="156">
        <v>12</v>
      </c>
      <c r="I82" s="156"/>
      <c r="J82" s="156"/>
      <c r="K82" s="156"/>
      <c r="L82" s="156"/>
      <c r="M82" s="156"/>
      <c r="N82" s="156"/>
      <c r="O82" s="350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9.25" customHeight="1" x14ac:dyDescent="0.25">
      <c r="A83" s="200"/>
      <c r="B83" s="326"/>
      <c r="C83" s="328"/>
      <c r="D83" s="322"/>
      <c r="E83" s="154"/>
      <c r="F83" s="155" t="s">
        <v>97</v>
      </c>
      <c r="G83" s="316"/>
      <c r="H83" s="156">
        <v>12</v>
      </c>
      <c r="I83" s="156"/>
      <c r="J83" s="156"/>
      <c r="K83" s="156"/>
      <c r="L83" s="156"/>
      <c r="M83" s="156"/>
      <c r="N83" s="156"/>
      <c r="O83" s="350"/>
      <c r="P83" s="9">
        <f t="shared" si="83"/>
        <v>12</v>
      </c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171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ht="20.25" customHeight="1" thickBot="1" x14ac:dyDescent="0.3">
      <c r="A84" s="200"/>
      <c r="B84" s="326"/>
      <c r="C84" s="328"/>
      <c r="D84" s="309"/>
      <c r="E84" s="310"/>
      <c r="F84" s="310"/>
      <c r="G84" s="310"/>
      <c r="H84" s="160">
        <f>SUM(H80:H83)</f>
        <v>48</v>
      </c>
      <c r="I84" s="160">
        <f t="shared" ref="I84" si="84">SUM(I80:I83)</f>
        <v>0</v>
      </c>
      <c r="J84" s="160">
        <f t="shared" ref="J84" si="85">SUM(J80:J83)</f>
        <v>0</v>
      </c>
      <c r="K84" s="160">
        <f t="shared" ref="K84" si="86">SUM(K80:K83)</f>
        <v>0</v>
      </c>
      <c r="L84" s="160">
        <f t="shared" ref="L84" si="87">SUM(L80:L83)</f>
        <v>0</v>
      </c>
      <c r="M84" s="160">
        <f t="shared" ref="M84" si="88">SUM(M80:M83)</f>
        <v>0</v>
      </c>
      <c r="N84" s="160">
        <f t="shared" ref="N84" si="89">SUM(N80:N83)</f>
        <v>0</v>
      </c>
      <c r="O84" s="161"/>
      <c r="P84" s="9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180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</row>
    <row r="85" spans="1:45" ht="21.75" customHeight="1" x14ac:dyDescent="0.25">
      <c r="A85" s="200"/>
      <c r="B85" s="326"/>
      <c r="C85" s="329"/>
      <c r="D85" s="319" t="s">
        <v>51</v>
      </c>
      <c r="E85" s="125"/>
      <c r="F85" s="138" t="s">
        <v>98</v>
      </c>
      <c r="G85" s="317">
        <v>48</v>
      </c>
      <c r="H85" s="126"/>
      <c r="I85" s="126">
        <v>12</v>
      </c>
      <c r="J85" s="126"/>
      <c r="K85" s="126"/>
      <c r="L85" s="126"/>
      <c r="M85" s="126"/>
      <c r="N85" s="126"/>
      <c r="O85" s="347">
        <f>SUM(P85:P88)</f>
        <v>48</v>
      </c>
      <c r="P85" s="9">
        <f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184">
        <f>O85-AF85</f>
        <v>48</v>
      </c>
      <c r="AH85" s="185">
        <f>AG85/O85</f>
        <v>1</v>
      </c>
      <c r="AI85" s="3" t="s">
        <v>124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21.75" customHeight="1" x14ac:dyDescent="0.25">
      <c r="A86" s="200"/>
      <c r="B86" s="326"/>
      <c r="C86" s="329"/>
      <c r="D86" s="320"/>
      <c r="E86" s="123"/>
      <c r="F86" s="119" t="s">
        <v>99</v>
      </c>
      <c r="G86" s="318"/>
      <c r="H86" s="124"/>
      <c r="I86" s="124">
        <v>12</v>
      </c>
      <c r="J86" s="124"/>
      <c r="K86" s="124"/>
      <c r="L86" s="124"/>
      <c r="M86" s="124"/>
      <c r="N86" s="124"/>
      <c r="O86" s="348"/>
      <c r="P86" s="9">
        <f t="shared" ref="P86:P88" si="90">SUM(H86:N86)</f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33.75" customHeight="1" x14ac:dyDescent="0.25">
      <c r="A87" s="200"/>
      <c r="B87" s="326"/>
      <c r="C87" s="329"/>
      <c r="D87" s="320"/>
      <c r="E87" s="123"/>
      <c r="F87" s="119" t="s">
        <v>100</v>
      </c>
      <c r="G87" s="318"/>
      <c r="H87" s="124"/>
      <c r="I87" s="124">
        <v>12</v>
      </c>
      <c r="J87" s="124"/>
      <c r="K87" s="124"/>
      <c r="L87" s="124"/>
      <c r="M87" s="124"/>
      <c r="N87" s="124"/>
      <c r="O87" s="348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56.25" customHeight="1" thickBot="1" x14ac:dyDescent="0.3">
      <c r="A88" s="201"/>
      <c r="B88" s="326"/>
      <c r="C88" s="329"/>
      <c r="D88" s="320"/>
      <c r="E88" s="123"/>
      <c r="F88" s="119" t="s">
        <v>101</v>
      </c>
      <c r="G88" s="318"/>
      <c r="H88" s="124"/>
      <c r="I88" s="124">
        <v>12</v>
      </c>
      <c r="J88" s="124"/>
      <c r="K88" s="124"/>
      <c r="L88" s="124"/>
      <c r="M88" s="124"/>
      <c r="N88" s="124"/>
      <c r="O88" s="348"/>
      <c r="P88" s="9">
        <f t="shared" si="90"/>
        <v>12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171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ht="20.25" customHeight="1" thickBot="1" x14ac:dyDescent="0.3">
      <c r="A89" s="8"/>
      <c r="B89" s="326"/>
      <c r="C89" s="329"/>
      <c r="D89" s="311"/>
      <c r="E89" s="312"/>
      <c r="F89" s="312"/>
      <c r="G89" s="312"/>
      <c r="H89" s="162">
        <f>SUM(H85:H88)</f>
        <v>0</v>
      </c>
      <c r="I89" s="162">
        <f t="shared" ref="I89" si="91">SUM(I85:I88)</f>
        <v>48</v>
      </c>
      <c r="J89" s="162">
        <f t="shared" ref="J89" si="92">SUM(J85:J88)</f>
        <v>0</v>
      </c>
      <c r="K89" s="162">
        <f t="shared" ref="K89" si="93">SUM(K85:K88)</f>
        <v>0</v>
      </c>
      <c r="L89" s="162">
        <f t="shared" ref="L89" si="94">SUM(L85:L88)</f>
        <v>0</v>
      </c>
      <c r="M89" s="162">
        <f t="shared" ref="M89" si="95">SUM(M85:M88)</f>
        <v>0</v>
      </c>
      <c r="N89" s="162">
        <f t="shared" ref="N89" si="96">SUM(N85:N88)</f>
        <v>0</v>
      </c>
      <c r="O89" s="139"/>
      <c r="P89" s="9"/>
      <c r="Q89" s="120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180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</row>
    <row r="90" spans="1:45" ht="43.5" customHeight="1" x14ac:dyDescent="0.25">
      <c r="A90" s="8"/>
      <c r="B90" s="326"/>
      <c r="C90" s="329"/>
      <c r="D90" s="122" t="s">
        <v>17</v>
      </c>
      <c r="E90" s="137"/>
      <c r="F90" s="43" t="s">
        <v>107</v>
      </c>
      <c r="G90" s="44">
        <v>48</v>
      </c>
      <c r="H90" s="44">
        <v>48</v>
      </c>
      <c r="I90" s="44"/>
      <c r="J90" s="44"/>
      <c r="K90" s="44"/>
      <c r="L90" s="44"/>
      <c r="M90" s="44"/>
      <c r="N90" s="44"/>
      <c r="O90" s="163">
        <f>SUM(P90:P90)</f>
        <v>48</v>
      </c>
      <c r="P90" s="9">
        <f>SUM(H90:N90)</f>
        <v>48</v>
      </c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171"/>
      <c r="AD90" s="3"/>
      <c r="AE90" s="3"/>
      <c r="AF90" s="3"/>
      <c r="AG90" s="184">
        <f>O90-AF90</f>
        <v>48</v>
      </c>
      <c r="AH90" s="185">
        <f>AG90/O90</f>
        <v>1</v>
      </c>
      <c r="AI90" s="3" t="s">
        <v>112</v>
      </c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ht="20.25" customHeight="1" thickBot="1" x14ac:dyDescent="0.3">
      <c r="A91" s="8"/>
      <c r="B91" s="326"/>
      <c r="C91" s="329"/>
      <c r="D91" s="195"/>
      <c r="E91" s="302"/>
      <c r="F91" s="302"/>
      <c r="G91" s="302"/>
      <c r="H91" s="140">
        <f t="shared" ref="H91:N91" si="97">SUM(H90:H90)</f>
        <v>48</v>
      </c>
      <c r="I91" s="140">
        <f t="shared" si="97"/>
        <v>0</v>
      </c>
      <c r="J91" s="140">
        <f t="shared" si="97"/>
        <v>0</v>
      </c>
      <c r="K91" s="140">
        <f t="shared" si="97"/>
        <v>0</v>
      </c>
      <c r="L91" s="140">
        <f t="shared" si="97"/>
        <v>0</v>
      </c>
      <c r="M91" s="140">
        <f t="shared" si="97"/>
        <v>0</v>
      </c>
      <c r="N91" s="140">
        <f t="shared" si="97"/>
        <v>0</v>
      </c>
      <c r="O91" s="141"/>
      <c r="P91" s="9"/>
      <c r="Q91" s="120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180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</row>
    <row r="92" spans="1:45" ht="27" customHeight="1" thickBot="1" x14ac:dyDescent="0.3">
      <c r="H92" s="164">
        <f t="shared" ref="H92:N92" si="98">SUM(H7+H12+H17+H22+H27+H32+H37+H42+H47+H52+H57+H62+H67+H74+H79+H84+H89+H91)</f>
        <v>480</v>
      </c>
      <c r="I92" s="164">
        <f t="shared" si="98"/>
        <v>432</v>
      </c>
      <c r="J92" s="164">
        <f t="shared" si="98"/>
        <v>432</v>
      </c>
      <c r="K92" s="164">
        <f t="shared" si="98"/>
        <v>432</v>
      </c>
      <c r="L92" s="164">
        <f t="shared" si="98"/>
        <v>432</v>
      </c>
      <c r="M92" s="164">
        <f t="shared" si="98"/>
        <v>432</v>
      </c>
      <c r="N92" s="164">
        <f t="shared" si="98"/>
        <v>480</v>
      </c>
      <c r="O92" s="165">
        <f>SUM(H92:N92)</f>
        <v>3120</v>
      </c>
      <c r="Q92" s="121"/>
    </row>
    <row r="94" spans="1:45" ht="15.75" x14ac:dyDescent="0.25">
      <c r="H94" s="166">
        <f t="shared" ref="H94:N94" si="99">IF(H92=0,"SIN HORAS",432-H92)</f>
        <v>-48</v>
      </c>
      <c r="I94" s="166">
        <f t="shared" si="99"/>
        <v>0</v>
      </c>
      <c r="J94" s="166">
        <f t="shared" si="99"/>
        <v>0</v>
      </c>
      <c r="K94" s="166">
        <f t="shared" si="99"/>
        <v>0</v>
      </c>
      <c r="L94" s="166">
        <f t="shared" si="99"/>
        <v>0</v>
      </c>
      <c r="M94" s="166">
        <f t="shared" si="99"/>
        <v>0</v>
      </c>
      <c r="N94" s="166">
        <f t="shared" si="99"/>
        <v>-48</v>
      </c>
    </row>
    <row r="98" spans="8:14" x14ac:dyDescent="0.25">
      <c r="H98" s="186" t="s">
        <v>104</v>
      </c>
      <c r="I98" s="186"/>
      <c r="J98" s="186"/>
    </row>
    <row r="100" spans="8:14" x14ac:dyDescent="0.25">
      <c r="I100" s="186" t="s">
        <v>105</v>
      </c>
      <c r="J100" s="186"/>
      <c r="K100" s="186"/>
      <c r="L100" s="186"/>
    </row>
    <row r="102" spans="8:14" x14ac:dyDescent="0.25">
      <c r="K102" s="186" t="s">
        <v>106</v>
      </c>
      <c r="L102" s="186"/>
      <c r="M102" s="186"/>
      <c r="N102" s="186"/>
    </row>
  </sheetData>
  <autoFilter ref="A2:AS92" xr:uid="{44B9DB88-0080-4900-9B58-5C638DC6AAB3}"/>
  <mergeCells count="81">
    <mergeCell ref="AF1:AH1"/>
    <mergeCell ref="B3:B91"/>
    <mergeCell ref="C3:C91"/>
    <mergeCell ref="H98:J98"/>
    <mergeCell ref="I100:L100"/>
    <mergeCell ref="D7:G7"/>
    <mergeCell ref="D12:G12"/>
    <mergeCell ref="D17:G17"/>
    <mergeCell ref="D22:G22"/>
    <mergeCell ref="D27:G27"/>
    <mergeCell ref="D32:G32"/>
    <mergeCell ref="O75:O78"/>
    <mergeCell ref="O85:O88"/>
    <mergeCell ref="O80:O83"/>
    <mergeCell ref="O63:O66"/>
    <mergeCell ref="O68:O73"/>
    <mergeCell ref="K102:N102"/>
    <mergeCell ref="D91:G91"/>
    <mergeCell ref="D74:G74"/>
    <mergeCell ref="D79:G79"/>
    <mergeCell ref="D84:G84"/>
    <mergeCell ref="D89:G89"/>
    <mergeCell ref="G75:G78"/>
    <mergeCell ref="G80:G83"/>
    <mergeCell ref="G85:G88"/>
    <mergeCell ref="D85:D88"/>
    <mergeCell ref="D80:D83"/>
    <mergeCell ref="D75:D78"/>
    <mergeCell ref="D37:G37"/>
    <mergeCell ref="D42:G42"/>
    <mergeCell ref="O33:O36"/>
    <mergeCell ref="O38:O41"/>
    <mergeCell ref="O43:O46"/>
    <mergeCell ref="D43:D46"/>
    <mergeCell ref="G43:G46"/>
    <mergeCell ref="D33:D36"/>
    <mergeCell ref="O48:O51"/>
    <mergeCell ref="O53:O56"/>
    <mergeCell ref="O58:O61"/>
    <mergeCell ref="O3:O6"/>
    <mergeCell ref="O8:O11"/>
    <mergeCell ref="O13:O16"/>
    <mergeCell ref="O18:O21"/>
    <mergeCell ref="O23:O26"/>
    <mergeCell ref="O28:O31"/>
    <mergeCell ref="D57:G57"/>
    <mergeCell ref="D68:D73"/>
    <mergeCell ref="D63:D66"/>
    <mergeCell ref="G63:G66"/>
    <mergeCell ref="G68:G73"/>
    <mergeCell ref="D58:D61"/>
    <mergeCell ref="G58:G61"/>
    <mergeCell ref="D62:G62"/>
    <mergeCell ref="D67:G67"/>
    <mergeCell ref="G48:G51"/>
    <mergeCell ref="G53:G56"/>
    <mergeCell ref="D47:G47"/>
    <mergeCell ref="D52:G52"/>
    <mergeCell ref="D48:D51"/>
    <mergeCell ref="D53:D56"/>
    <mergeCell ref="D13:D16"/>
    <mergeCell ref="G13:G16"/>
    <mergeCell ref="D18:D21"/>
    <mergeCell ref="G18:G21"/>
    <mergeCell ref="A3:A88"/>
    <mergeCell ref="D3:D6"/>
    <mergeCell ref="G3:G6"/>
    <mergeCell ref="D23:D26"/>
    <mergeCell ref="G23:G26"/>
    <mergeCell ref="D8:D11"/>
    <mergeCell ref="G8:G11"/>
    <mergeCell ref="G28:G31"/>
    <mergeCell ref="G33:G36"/>
    <mergeCell ref="D38:D41"/>
    <mergeCell ref="G38:G41"/>
    <mergeCell ref="D28:D31"/>
    <mergeCell ref="Q1:S1"/>
    <mergeCell ref="T1:V1"/>
    <mergeCell ref="W1:Y1"/>
    <mergeCell ref="Z1:AB1"/>
    <mergeCell ref="AC1:AE1"/>
  </mergeCells>
  <conditionalFormatting sqref="H94:N94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Jorge Alberto Villanueva Villareal</cp:lastModifiedBy>
  <dcterms:created xsi:type="dcterms:W3CDTF">2024-09-18T15:54:29Z</dcterms:created>
  <dcterms:modified xsi:type="dcterms:W3CDTF">2025-10-20T21:27:49Z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